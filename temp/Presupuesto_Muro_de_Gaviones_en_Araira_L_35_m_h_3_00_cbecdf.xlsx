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color rgb="0064748B"/>
      <sz val="9"/>
    </font>
    <font>
      <name val="Calibri"/>
      <b val="1"/>
      <color rgb="000F172A"/>
      <sz val="14"/>
    </font>
    <font>
      <name val="Calibri"/>
      <b val="1"/>
      <color rgb="001E293B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0F172A"/>
      <sz val="12"/>
    </font>
    <font>
      <name val="Calibr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right" vertical="center" wrapText="1"/>
    </xf>
    <xf numFmtId="0" fontId="7" fillId="4" borderId="2" applyAlignment="1" pivotButton="0" quotePrefix="0" xfId="0">
      <alignment horizontal="right" vertical="center" wrapText="1"/>
    </xf>
    <xf numFmtId="0" fontId="5" fillId="4" borderId="2" applyAlignment="1" pivotButton="0" quotePrefix="0" xfId="0">
      <alignment horizontal="left" vertical="center" wrapText="1"/>
    </xf>
    <xf numFmtId="4" fontId="7" fillId="4" borderId="2" applyAlignment="1" pivotButton="0" quotePrefix="0" xfId="0">
      <alignment horizontal="right" vertical="center" wrapText="1"/>
    </xf>
    <xf numFmtId="0" fontId="4" fillId="0" borderId="0" pivotButton="0" quotePrefix="0" xfId="0"/>
    <xf numFmtId="0" fontId="8" fillId="3" borderId="1" applyAlignment="1" pivotButton="0" quotePrefix="0" xfId="0">
      <alignment horizontal="left"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60" customWidth="1" min="4" max="4"/>
    <col width="10" customWidth="1" min="5" max="5"/>
    <col width="14" customWidth="1" min="6" max="6"/>
    <col width="18" customWidth="1" min="7" max="7"/>
    <col width="20" customWidth="1" min="8" max="8"/>
  </cols>
  <sheetData>
    <row r="2" ht="24" customHeight="1">
      <c r="B2" s="1" t="inlineStr">
        <is>
          <t>Obra: Muro de Gaviones en Araira L=35 m h=3.00 m</t>
        </is>
      </c>
    </row>
    <row r="3">
      <c r="B3" s="2" t="inlineStr">
        <is>
          <t>Fecha: 04/09/2026</t>
        </is>
      </c>
    </row>
    <row r="5" ht="26" customHeight="1">
      <c r="B5" s="3" t="inlineStr">
        <is>
          <t>PRESUPUESTO</t>
        </is>
      </c>
    </row>
    <row r="7" ht="24" customHeight="1">
      <c r="B7" s="4" t="inlineStr">
        <is>
          <t>#</t>
        </is>
      </c>
      <c r="C7" s="4" t="inlineStr">
        <is>
          <t>CÓDIGO</t>
        </is>
      </c>
      <c r="D7" s="5" t="inlineStr">
        <is>
          <t>DESCRIPCIÓN</t>
        </is>
      </c>
      <c r="E7" s="4" t="inlineStr">
        <is>
          <t>UNIDAD</t>
        </is>
      </c>
      <c r="F7" s="6" t="inlineStr">
        <is>
          <t>CANTIDAD</t>
        </is>
      </c>
      <c r="G7" s="6" t="inlineStr">
        <is>
          <t>P.U. (USD)</t>
        </is>
      </c>
      <c r="H7" s="6" t="inlineStr">
        <is>
          <t>TOTAL (USD)</t>
        </is>
      </c>
    </row>
    <row r="8" ht="59" customHeight="1">
      <c r="B8" s="7" t="n">
        <v>1</v>
      </c>
      <c r="C8" s="7" t="inlineStr">
        <is>
          <t>E311110150</t>
        </is>
      </c>
      <c r="D8" s="8" t="inlineStr">
        <is>
          <t>EXCAVACION EN TIERRA A MANO PARA ASIENTO DE FUNDACIONES, ZANJAS U OTROS HASTA PROFUNDIDADES COMPRENDIDAS ENTRE 0.00 Y 1.50 M.</t>
        </is>
      </c>
      <c r="E8" s="7" t="inlineStr">
        <is>
          <t>m3</t>
        </is>
      </c>
      <c r="F8" s="9" t="n">
        <v>70</v>
      </c>
      <c r="G8" s="9" t="n">
        <v>27.87</v>
      </c>
      <c r="H8" s="9">
        <f>ROUND(F8*G8, 2)</f>
        <v/>
      </c>
    </row>
    <row r="9" ht="59" customHeight="1">
      <c r="B9" s="7" t="n">
        <v>2</v>
      </c>
      <c r="C9" s="7" t="inlineStr">
        <is>
          <t>E317000000</t>
        </is>
      </c>
      <c r="D9" s="8" t="inlineStr">
        <is>
          <t>COMPACTACION DE RELLENOS CON APISONADORES DE PERCUSION, CORRESPONDIENTE A LOS ASIENTOS DE FUNDACIONES, ZANJAS U</t>
        </is>
      </c>
      <c r="E9" s="7" t="inlineStr">
        <is>
          <t>m3</t>
        </is>
      </c>
      <c r="F9" s="9" t="n">
        <v>10.5</v>
      </c>
      <c r="G9" s="9" t="n">
        <v>43.17</v>
      </c>
      <c r="H9" s="9">
        <f>ROUND(F9*G9, 2)</f>
        <v/>
      </c>
    </row>
    <row r="10" ht="59" customHeight="1">
      <c r="B10" s="7" t="n">
        <v>3</v>
      </c>
      <c r="C10" s="7" t="inlineStr">
        <is>
          <t>A301421500</t>
        </is>
      </c>
      <c r="D10" s="8" t="inlineStr">
        <is>
          <t>CONSTRUCCION DE ENGAVIONADO RECTANGULAR (200x100x50), CON MALLA GALVANIZADA DOBLE TORSION, CALIBRE 2.7 MM (12)</t>
        </is>
      </c>
      <c r="E10" s="7" t="inlineStr">
        <is>
          <t>m3</t>
        </is>
      </c>
      <c r="F10" s="9" t="n">
        <v>210</v>
      </c>
      <c r="G10" s="9" t="n">
        <v>60.06</v>
      </c>
      <c r="H10" s="9">
        <f>ROUND(F10*G10, 2)</f>
        <v/>
      </c>
    </row>
    <row r="11" ht="59" customHeight="1">
      <c r="B11" s="7" t="n">
        <v>4</v>
      </c>
      <c r="C11" s="7" t="inlineStr">
        <is>
          <t>R910132255</t>
        </is>
      </c>
      <c r="D11" s="8" t="inlineStr">
        <is>
          <t>ACARREO A MANO DE PIEDRA BRUTA CON USO DE CARRETILLA, A DISTANCIAS ENTRE 40 Y 50m (IDA Y VUELTA) CON PENDIENTES DE 2-5%</t>
        </is>
      </c>
      <c r="E11" s="7" t="inlineStr">
        <is>
          <t>m3.m</t>
        </is>
      </c>
      <c r="F11" s="9" t="n">
        <v>8400</v>
      </c>
      <c r="G11" s="9" t="n">
        <v>0.33</v>
      </c>
      <c r="H11" s="9">
        <f>ROUND(F11*G11, 2)</f>
        <v/>
      </c>
    </row>
    <row r="12" ht="24" customHeight="1">
      <c r="B12" s="10" t="inlineStr">
        <is>
          <t>Subtotal (USD):</t>
        </is>
      </c>
      <c r="C12" s="11" t="n"/>
      <c r="D12" s="11" t="n"/>
      <c r="E12" s="11" t="n"/>
      <c r="F12" s="11" t="n"/>
      <c r="G12" s="11" t="n"/>
      <c r="H12" s="12">
        <f>SUM(H8:H11)</f>
        <v/>
      </c>
    </row>
    <row r="13" ht="24" customHeight="1">
      <c r="B13" s="10" t="inlineStr">
        <is>
          <t>IVA 16% (USD):</t>
        </is>
      </c>
      <c r="C13" s="11" t="n"/>
      <c r="D13" s="11" t="n"/>
      <c r="E13" s="11" t="n"/>
      <c r="F13" s="11" t="n"/>
      <c r="G13" s="11" t="n"/>
      <c r="H13" s="12">
        <f>ROUND(H12*(16.0/100), 2)</f>
        <v/>
      </c>
    </row>
    <row r="14" ht="28" customHeight="1">
      <c r="B14" s="13" t="inlineStr">
        <is>
          <t>Total Presupuesto (USD):</t>
        </is>
      </c>
      <c r="C14" s="14" t="n"/>
      <c r="D14" s="14" t="n"/>
      <c r="E14" s="14" t="n"/>
      <c r="F14" s="14" t="n"/>
      <c r="G14" s="14" t="n"/>
      <c r="H14" s="15">
        <f>H12+H13</f>
        <v/>
      </c>
    </row>
    <row r="16" ht="20" customHeight="1">
      <c r="B16" s="16" t="inlineStr">
        <is>
          <t>NOTAS:</t>
        </is>
      </c>
    </row>
    <row r="17" ht="36" customHeight="1">
      <c r="B17" s="17" t="inlineStr">
        <is>
          <t>Los precios no incluyen transporte extraordinario. Validez de la oferta: 15 días continuos.</t>
        </is>
      </c>
      <c r="C17" s="18" t="n"/>
      <c r="D17" s="18" t="n"/>
      <c r="E17" s="18" t="n"/>
      <c r="F17" s="18" t="n"/>
      <c r="G17" s="18" t="n"/>
      <c r="H17" s="18" t="n"/>
    </row>
  </sheetData>
  <mergeCells count="5">
    <mergeCell ref="B17:H17"/>
    <mergeCell ref="B14:G14"/>
    <mergeCell ref="B12:G12"/>
    <mergeCell ref="B13:G1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2026-09-04T16:44:40Z</dcterms:created>
  <dcterms:modified xmlns:dcterms="http://purl.org/dc/terms/" xmlns:xsi="http://www.w3.org/2001/XMLSchema-instance" xsi:type="dcterms:W3CDTF">2026-09-04T16:44:40Z</dcterms:modified>
</cp:coreProperties>
</file>