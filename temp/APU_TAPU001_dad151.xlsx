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00"/>
    <numFmt numFmtId="166" formatCode="#,##0.0000"/>
  </numFmts>
  <fonts count="13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sz val="18"/>
    </font>
    <font>
      <name val="Calibri"/>
      <b val="1"/>
      <sz val="11"/>
    </font>
    <font>
      <name val="Calibri"/>
      <b val="1"/>
      <sz val="9"/>
    </font>
    <font>
      <name val="Calibri"/>
      <sz val="7"/>
    </font>
    <font>
      <name val="Calibri"/>
      <sz val="11"/>
    </font>
    <font>
      <name val="Calibri"/>
      <b val="1"/>
      <sz val="7"/>
    </font>
    <font>
      <name val="Calibri"/>
      <b val="1"/>
      <sz val="6"/>
    </font>
    <font>
      <name val="Calibri"/>
      <b val="1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5" applyAlignment="1" pivotButton="0" quotePrefix="0" xfId="0">
      <alignment horizontal="center"/>
    </xf>
    <xf numFmtId="0" fontId="0" fillId="0" borderId="5" pivotButton="0" quotePrefix="0" xfId="0"/>
    <xf numFmtId="0" fontId="6" fillId="0" borderId="5" applyAlignment="1" pivotButton="0" quotePrefix="0" xfId="0">
      <alignment horizontal="center"/>
    </xf>
    <xf numFmtId="0" fontId="7" fillId="0" borderId="5" applyAlignment="1" pivotButton="0" quotePrefix="0" xfId="0">
      <alignment vertical="top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center" vertical="center"/>
    </xf>
    <xf numFmtId="14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top"/>
    </xf>
    <xf numFmtId="0" fontId="8" fillId="0" borderId="5" applyAlignment="1" pivotButton="0" quotePrefix="0" xfId="0">
      <alignment horizontal="justify" vertical="top" wrapText="1"/>
    </xf>
    <xf numFmtId="0" fontId="8" fillId="0" borderId="5" pivotButton="0" quotePrefix="0" xfId="0"/>
    <xf numFmtId="165" fontId="8" fillId="0" borderId="5" applyAlignment="1" pivotButton="0" quotePrefix="0" xfId="0">
      <alignment horizontal="center" vertical="center"/>
    </xf>
    <xf numFmtId="4" fontId="8" fillId="0" borderId="5" applyAlignment="1" pivotButton="0" quotePrefix="0" xfId="0">
      <alignment horizontal="center" vertical="center"/>
    </xf>
    <xf numFmtId="0" fontId="9" fillId="0" borderId="5" pivotButton="0" quotePrefix="0" xfId="0"/>
    <xf numFmtId="0" fontId="10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justify" vertical="center" wrapText="1"/>
    </xf>
    <xf numFmtId="166" fontId="8" fillId="0" borderId="5" applyAlignment="1" pivotButton="0" quotePrefix="0" xfId="0">
      <alignment vertical="center"/>
    </xf>
    <xf numFmtId="4" fontId="8" fillId="0" borderId="5" applyAlignment="1" pivotButton="0" quotePrefix="0" xfId="0">
      <alignment vertical="center"/>
    </xf>
    <xf numFmtId="0" fontId="12" fillId="0" borderId="5" applyAlignment="1" pivotButton="0" quotePrefix="0" xfId="0">
      <alignment horizontal="right"/>
    </xf>
    <xf numFmtId="4" fontId="12" fillId="0" borderId="5" pivotButton="0" quotePrefix="0" xfId="0"/>
    <xf numFmtId="0" fontId="11" fillId="0" borderId="5" applyAlignment="1" pivotButton="0" quotePrefix="0" xfId="0">
      <alignment horizontal="center" vertical="center"/>
    </xf>
    <xf numFmtId="165" fontId="8" fillId="0" borderId="5" applyAlignment="1" pivotButton="0" quotePrefix="0" xfId="0">
      <alignment vertical="center"/>
    </xf>
    <xf numFmtId="4" fontId="12" fillId="0" borderId="5" applyAlignment="1" pivotButton="0" quotePrefix="0" xfId="0">
      <alignment horizontal="right"/>
    </xf>
    <xf numFmtId="4" fontId="12" fillId="0" borderId="5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 ht="23.4" customHeight="1">
      <c r="B1" s="1" t="inlineStr">
        <is>
          <t>ANALISIS DE PRECIO UNITARIO</t>
        </is>
      </c>
      <c r="C1" s="2" t="n"/>
      <c r="D1" s="2" t="n"/>
      <c r="E1" s="2" t="n"/>
      <c r="F1" s="2" t="n"/>
      <c r="G1" s="2" t="n"/>
      <c r="H1" s="2" t="n"/>
    </row>
    <row r="2" ht="23.4" customHeight="1">
      <c r="B2" s="1" t="n"/>
      <c r="C2" s="3" t="n"/>
      <c r="D2" s="3" t="n"/>
      <c r="E2" s="3" t="n"/>
      <c r="F2" s="3" t="n"/>
      <c r="G2" s="3" t="n"/>
      <c r="H2" s="3" t="n"/>
    </row>
    <row r="3">
      <c r="B3" s="4" t="inlineStr">
        <is>
          <t xml:space="preserve">Obra: </t>
        </is>
      </c>
      <c r="C3" s="2" t="n"/>
      <c r="D3" s="2" t="n"/>
      <c r="E3" s="2" t="n"/>
      <c r="F3" s="2" t="n"/>
      <c r="G3" s="2" t="n"/>
      <c r="H3" s="2" t="n"/>
    </row>
    <row r="4">
      <c r="B4" s="4" t="inlineStr">
        <is>
          <t xml:space="preserve">Contratante: </t>
        </is>
      </c>
      <c r="C4" s="2" t="n"/>
      <c r="D4" s="2" t="n"/>
      <c r="E4" s="2" t="n"/>
      <c r="F4" s="2" t="n"/>
      <c r="G4" s="2" t="n"/>
      <c r="H4" s="2" t="n"/>
    </row>
    <row r="5">
      <c r="B5" s="5" t="n"/>
      <c r="C5" s="5" t="n"/>
      <c r="D5" s="5" t="n"/>
      <c r="E5" s="6" t="inlineStr">
        <is>
          <t>Part. No.:</t>
        </is>
      </c>
      <c r="F5" s="7" t="n">
        <v>1</v>
      </c>
      <c r="G5" s="6" t="inlineStr">
        <is>
          <t>Fecha:</t>
        </is>
      </c>
      <c r="H5" s="8" t="n">
        <v>46316.91480834098</v>
      </c>
    </row>
    <row r="6">
      <c r="B6" s="9" t="inlineStr">
        <is>
          <t>Descripción:</t>
        </is>
      </c>
      <c r="C6" s="10" t="inlineStr">
        <is>
          <t>APU DE PRUEBA</t>
        </is>
      </c>
      <c r="D6" s="2" t="n"/>
      <c r="E6" s="2" t="n"/>
      <c r="F6" s="2" t="n"/>
      <c r="G6" s="2" t="n"/>
      <c r="H6" s="2" t="n"/>
    </row>
    <row r="7">
      <c r="B7" s="11" t="n"/>
      <c r="C7" s="2" t="n"/>
      <c r="D7" s="2" t="n"/>
      <c r="E7" s="2" t="n"/>
      <c r="F7" s="2" t="n"/>
      <c r="G7" s="2" t="n"/>
      <c r="H7" s="2" t="n"/>
    </row>
    <row r="8">
      <c r="B8" s="5" t="n"/>
      <c r="C8" s="5" t="n"/>
      <c r="D8" s="5" t="n"/>
      <c r="E8" s="5" t="n"/>
      <c r="F8" s="5" t="n"/>
      <c r="G8" s="6" t="inlineStr">
        <is>
          <t>Rendimiento:</t>
        </is>
      </c>
      <c r="H8" s="12" t="n">
        <v>1</v>
      </c>
    </row>
    <row r="9">
      <c r="B9" s="5" t="inlineStr">
        <is>
          <t>Código:</t>
        </is>
      </c>
      <c r="C9" s="5" t="inlineStr">
        <is>
          <t>TAPU001</t>
        </is>
      </c>
      <c r="D9" s="5" t="n"/>
      <c r="E9" s="6" t="inlineStr">
        <is>
          <t>Unidad:</t>
        </is>
      </c>
      <c r="F9" s="7" t="inlineStr">
        <is>
          <t>und</t>
        </is>
      </c>
      <c r="G9" s="6" t="inlineStr">
        <is>
          <t>Cantidad:</t>
        </is>
      </c>
      <c r="H9" s="13" t="n">
        <v>1</v>
      </c>
    </row>
    <row r="10" ht="4.05" customHeight="1">
      <c r="B10" s="2" t="n"/>
      <c r="C10" s="2" t="n"/>
      <c r="D10" s="2" t="n"/>
      <c r="E10" s="2" t="n"/>
      <c r="F10" s="2" t="n"/>
      <c r="G10" s="2" t="n"/>
      <c r="H10" s="2" t="n"/>
    </row>
    <row r="11">
      <c r="B11" s="14" t="inlineStr">
        <is>
          <t>MATERIALES</t>
        </is>
      </c>
      <c r="C11" s="2" t="n"/>
      <c r="D11" s="2" t="n"/>
      <c r="E11" s="2" t="n"/>
      <c r="F11" s="2" t="n"/>
      <c r="G11" s="2" t="n"/>
      <c r="H11" s="2" t="n"/>
    </row>
    <row r="12">
      <c r="B12" s="15" t="inlineStr">
        <is>
          <t>No.</t>
        </is>
      </c>
      <c r="C12" s="15" t="inlineStr">
        <is>
          <t>Descripción</t>
        </is>
      </c>
      <c r="D12" s="15" t="inlineStr">
        <is>
          <t>Und.</t>
        </is>
      </c>
      <c r="E12" s="15" t="inlineStr">
        <is>
          <t>Cant.</t>
        </is>
      </c>
      <c r="F12" s="15" t="inlineStr">
        <is>
          <t>Desp.</t>
        </is>
      </c>
      <c r="G12" s="15" t="inlineStr">
        <is>
          <t>Precio</t>
        </is>
      </c>
      <c r="H12" s="15" t="inlineStr">
        <is>
          <t>Total</t>
        </is>
      </c>
    </row>
    <row r="13">
      <c r="A13" s="16" t="inlineStr">
        <is>
          <t>TST001</t>
        </is>
      </c>
      <c r="B13" s="7" t="n">
        <v>1</v>
      </c>
      <c r="C13" s="17" t="inlineStr">
        <is>
          <t>MATERIAL DE PRUEBA 1</t>
        </is>
      </c>
      <c r="D13" s="5" t="inlineStr">
        <is>
          <t>und</t>
        </is>
      </c>
      <c r="E13" s="18" t="n">
        <v>1</v>
      </c>
      <c r="F13" s="19" t="n">
        <v>0</v>
      </c>
      <c r="G13" s="19" t="n">
        <v>10</v>
      </c>
      <c r="H13" s="19">
        <f>ROUND((G13*E13)*((F13/100)+1),2)</f>
        <v>10</v>
      </c>
    </row>
    <row r="14">
      <c r="A14" s="16" t="inlineStr">
        <is>
          <t>TST002</t>
        </is>
      </c>
      <c r="B14" s="7" t="n">
        <v>2</v>
      </c>
      <c r="C14" s="17" t="inlineStr">
        <is>
          <t>MATERIAL DE PRUEBA 2</t>
        </is>
      </c>
      <c r="D14" s="5" t="inlineStr">
        <is>
          <t>und</t>
        </is>
      </c>
      <c r="E14" s="18" t="n">
        <v>2</v>
      </c>
      <c r="F14" s="19" t="n">
        <v>0</v>
      </c>
      <c r="G14" s="19" t="n">
        <v>20</v>
      </c>
      <c r="H14" s="19">
        <f>ROUND((G14*E14)*((F14/100)+1),2)</f>
        <v>40</v>
      </c>
    </row>
    <row r="15">
      <c r="A15" s="16" t="inlineStr">
        <is>
          <t>TST003</t>
        </is>
      </c>
      <c r="B15" s="7" t="n">
        <v>3</v>
      </c>
      <c r="C15" s="17" t="inlineStr">
        <is>
          <t>MATERIAL DE PRUEBA 3</t>
        </is>
      </c>
      <c r="D15" s="5" t="inlineStr">
        <is>
          <t>und</t>
        </is>
      </c>
      <c r="E15" s="18" t="n">
        <v>3</v>
      </c>
      <c r="F15" s="19" t="n">
        <v>0</v>
      </c>
      <c r="G15" s="19" t="n">
        <v>30</v>
      </c>
      <c r="H15" s="19">
        <f>ROUND((G15*E15)*((F15/100)+1),2)</f>
        <v>90</v>
      </c>
    </row>
    <row r="16">
      <c r="A16" s="16" t="inlineStr">
        <is>
          <t>TST004</t>
        </is>
      </c>
      <c r="B16" s="7" t="n">
        <v>4</v>
      </c>
      <c r="C16" s="17" t="inlineStr">
        <is>
          <t>MATERIAL DE PRUEBA 4</t>
        </is>
      </c>
      <c r="D16" s="5" t="inlineStr">
        <is>
          <t>und</t>
        </is>
      </c>
      <c r="E16" s="18" t="n">
        <v>4</v>
      </c>
      <c r="F16" s="19" t="n">
        <v>0</v>
      </c>
      <c r="G16" s="19" t="n">
        <v>40</v>
      </c>
      <c r="H16" s="19">
        <f>ROUND((G16*E16)*((F16/100)+1),2)</f>
        <v>160</v>
      </c>
    </row>
    <row r="17">
      <c r="B17" s="2" t="n"/>
      <c r="C17" s="2" t="n"/>
      <c r="D17" s="2" t="n"/>
      <c r="E17" s="2" t="n"/>
      <c r="F17" s="20" t="inlineStr">
        <is>
          <t>Total Materiales:</t>
        </is>
      </c>
      <c r="G17" s="2" t="n"/>
      <c r="H17" s="21">
        <f>SUM(H13:H16)</f>
        <v>300</v>
      </c>
    </row>
    <row r="18" hidden="1">
      <c r="B18" s="2" t="n"/>
      <c r="C18" s="2" t="n"/>
      <c r="D18" s="2" t="n"/>
      <c r="E18" s="2" t="n"/>
      <c r="F18" s="2" t="n"/>
      <c r="G18" s="2" t="n"/>
      <c r="H18" s="2" t="n"/>
    </row>
    <row r="19">
      <c r="B19" s="14" t="inlineStr">
        <is>
          <t>EQUIPOS</t>
        </is>
      </c>
      <c r="C19" s="2" t="n"/>
      <c r="D19" s="2" t="n"/>
      <c r="E19" s="2" t="n"/>
      <c r="F19" s="2" t="n"/>
      <c r="G19" s="2" t="n"/>
      <c r="H19" s="2" t="n"/>
    </row>
    <row r="20">
      <c r="B20" s="15" t="inlineStr">
        <is>
          <t>No.</t>
        </is>
      </c>
      <c r="C20" s="15" t="inlineStr">
        <is>
          <t>Descripción</t>
        </is>
      </c>
      <c r="D20" s="15" t="n"/>
      <c r="E20" s="15" t="inlineStr">
        <is>
          <t>Cant.</t>
        </is>
      </c>
      <c r="F20" s="22" t="inlineStr">
        <is>
          <t>Cop/Dep</t>
        </is>
      </c>
      <c r="G20" s="15" t="inlineStr">
        <is>
          <t>Precio</t>
        </is>
      </c>
      <c r="H20" s="15" t="inlineStr">
        <is>
          <t>Total</t>
        </is>
      </c>
    </row>
    <row r="21" ht="18.75" customHeight="1">
      <c r="A21" s="16" t="inlineStr">
        <is>
          <t>ALB003</t>
        </is>
      </c>
      <c r="B21" s="7" t="n">
        <v>1</v>
      </c>
      <c r="C21" s="17" t="inlineStr">
        <is>
          <t>CARRETILLA</t>
        </is>
      </c>
      <c r="D21" s="2" t="n"/>
      <c r="E21" s="19" t="n">
        <v>1</v>
      </c>
      <c r="F21" s="23" t="n">
        <v>0.02</v>
      </c>
      <c r="G21" s="19" t="n">
        <v>2.4</v>
      </c>
      <c r="H21" s="19">
        <f>ROUND((G21*E21)*(F21),2)</f>
        <v>0.05</v>
      </c>
    </row>
    <row r="22" ht="18.75" customHeight="1">
      <c r="A22" s="16" t="inlineStr">
        <is>
          <t>ELE020</t>
        </is>
      </c>
      <c r="B22" s="7" t="n">
        <v>2</v>
      </c>
      <c r="C22" s="17" t="inlineStr">
        <is>
          <t>TORRE</t>
        </is>
      </c>
      <c r="D22" s="2" t="n"/>
      <c r="E22" s="19" t="n">
        <v>1</v>
      </c>
      <c r="F22" s="23" t="n">
        <v>1</v>
      </c>
      <c r="G22" s="19" t="n">
        <v>66.40000000000001</v>
      </c>
      <c r="H22" s="19">
        <f>ROUND((G22*E22)*(F22),2)</f>
        <v>66.4</v>
      </c>
    </row>
    <row r="23">
      <c r="B23" s="2" t="n"/>
      <c r="C23" s="2" t="n"/>
      <c r="D23" s="2" t="n"/>
      <c r="E23" s="2" t="n"/>
      <c r="F23" s="20" t="inlineStr">
        <is>
          <t>Total Equipos:</t>
        </is>
      </c>
      <c r="G23" s="2" t="n"/>
      <c r="H23" s="21">
        <f>SUM(H21:H22)</f>
        <v>66.45</v>
      </c>
    </row>
    <row r="24">
      <c r="B24" s="2" t="n"/>
      <c r="C24" s="2" t="n"/>
      <c r="D24" s="2" t="n"/>
      <c r="E24" s="20" t="inlineStr">
        <is>
          <t>Costo Unitarios Equipos:</t>
        </is>
      </c>
      <c r="F24" s="2" t="n"/>
      <c r="G24" s="2" t="n"/>
      <c r="H24" s="21">
        <f>ROUND(H23/H8,2)</f>
        <v>66.45</v>
      </c>
    </row>
    <row r="25" hidden="1">
      <c r="B25" s="2" t="n"/>
      <c r="C25" s="2" t="n"/>
      <c r="D25" s="2" t="n"/>
      <c r="E25" s="2" t="n"/>
      <c r="F25" s="2" t="n"/>
      <c r="G25" s="2" t="n"/>
      <c r="H25" s="2" t="n"/>
    </row>
    <row r="26">
      <c r="B26" s="14" t="inlineStr">
        <is>
          <t>MANO DE OBRA</t>
        </is>
      </c>
      <c r="C26" s="2" t="n"/>
      <c r="D26" s="2" t="n"/>
      <c r="E26" s="2" t="n"/>
      <c r="F26" s="2" t="n"/>
      <c r="G26" s="2" t="n"/>
      <c r="H26" s="2" t="n"/>
    </row>
    <row r="27">
      <c r="B27" s="15" t="inlineStr">
        <is>
          <t>No.</t>
        </is>
      </c>
      <c r="C27" s="15" t="inlineStr">
        <is>
          <t>Descripción</t>
        </is>
      </c>
      <c r="D27" s="15" t="inlineStr">
        <is>
          <t>Cant.</t>
        </is>
      </c>
      <c r="E27" s="15" t="inlineStr">
        <is>
          <t>Jornal</t>
        </is>
      </c>
      <c r="F27" s="15" t="inlineStr">
        <is>
          <t>Bono</t>
        </is>
      </c>
      <c r="G27" s="15" t="inlineStr">
        <is>
          <t>Total Jornal</t>
        </is>
      </c>
      <c r="H27" s="15" t="inlineStr">
        <is>
          <t>Total Bono</t>
        </is>
      </c>
    </row>
    <row r="28">
      <c r="B28" s="2" t="n"/>
      <c r="C28" s="20" t="n"/>
      <c r="D28" s="20" t="inlineStr">
        <is>
          <t>SubTotal Mano de Obra:</t>
        </is>
      </c>
      <c r="E28" s="2" t="n"/>
      <c r="F28" s="2" t="n"/>
      <c r="G28" s="21" t="n">
        <v>0</v>
      </c>
      <c r="H28" s="21" t="n">
        <v>0</v>
      </c>
    </row>
    <row r="29">
      <c r="B29" s="2" t="n"/>
      <c r="C29" s="24" t="n">
        <v>417</v>
      </c>
      <c r="D29" s="20" t="inlineStr">
        <is>
          <t>Prestaciones Sociales:</t>
        </is>
      </c>
      <c r="E29" s="2" t="n"/>
      <c r="F29" s="2" t="n"/>
      <c r="G29" s="21">
        <f>ROUND((C29/100)*G28,2)</f>
        <v>0</v>
      </c>
      <c r="H29" s="21" t="n">
        <v>0</v>
      </c>
    </row>
    <row r="30">
      <c r="B30" s="2" t="n"/>
      <c r="C30" s="2" t="n"/>
      <c r="D30" s="20" t="inlineStr">
        <is>
          <t>Total General Mano de Obra:</t>
        </is>
      </c>
      <c r="E30" s="2" t="n"/>
      <c r="F30" s="2" t="n"/>
      <c r="G30" s="2" t="n"/>
      <c r="H30" s="21">
        <f>G29+H29+G28+H28</f>
        <v>0</v>
      </c>
    </row>
    <row r="31">
      <c r="B31" s="2" t="n"/>
      <c r="C31" s="2" t="n"/>
      <c r="D31" s="20" t="inlineStr">
        <is>
          <t>Costo Unitario de Mano de Obra:</t>
        </is>
      </c>
      <c r="E31" s="2" t="n"/>
      <c r="F31" s="2" t="n"/>
      <c r="G31" s="2" t="n"/>
      <c r="H31" s="21">
        <f>ROUND(H30/H8,2)</f>
        <v>0</v>
      </c>
    </row>
    <row r="32" ht="4.05" customHeight="1">
      <c r="B32" s="2" t="n"/>
      <c r="C32" s="2" t="n"/>
      <c r="D32" s="2" t="n"/>
      <c r="E32" s="24" t="n">
        <v>0</v>
      </c>
      <c r="F32" s="14" t="inlineStr">
        <is>
          <t>Otros Impuestos:</t>
        </is>
      </c>
      <c r="G32" s="2" t="n"/>
      <c r="H32" s="21">
        <f>ROUND((H30*E32)/100,2)</f>
        <v>0</v>
      </c>
    </row>
    <row r="33">
      <c r="B33" s="2" t="n"/>
      <c r="C33" s="2" t="n"/>
      <c r="D33" s="2" t="n"/>
      <c r="E33" s="20" t="inlineStr">
        <is>
          <t>COSTO DIRECTO SUBTOTAL A:</t>
        </is>
      </c>
      <c r="F33" s="2" t="n"/>
      <c r="G33" s="2" t="n"/>
      <c r="H33" s="21">
        <f>ROUND(H17+H24+H31,2)</f>
        <v>366.45</v>
      </c>
    </row>
    <row r="34">
      <c r="B34" s="2" t="n"/>
      <c r="C34" s="24" t="n">
        <v>15</v>
      </c>
      <c r="D34" s="14" t="inlineStr">
        <is>
          <t>Administración y Gastos Generales:</t>
        </is>
      </c>
      <c r="E34" s="2" t="n"/>
      <c r="F34" s="2" t="n"/>
      <c r="G34" s="2" t="n"/>
      <c r="H34" s="21">
        <f>ROUND((H33*C34)/100,2)</f>
        <v>54.97</v>
      </c>
    </row>
    <row r="35">
      <c r="B35" s="2" t="n"/>
      <c r="C35" s="2" t="n"/>
      <c r="D35" s="20" t="inlineStr">
        <is>
          <t>SUBTOTAL B:</t>
        </is>
      </c>
      <c r="E35" s="2" t="n"/>
      <c r="F35" s="2" t="n"/>
      <c r="G35" s="2" t="n"/>
      <c r="H35" s="21">
        <f>H33+H34</f>
        <v>421.42</v>
      </c>
    </row>
    <row r="36">
      <c r="B36" s="25" t="inlineStr">
        <is>
          <t>SON: ( QUINIENTOS TREINTA Y SIETE DÓLARES con 73/100 ctms )</t>
        </is>
      </c>
      <c r="C36" s="2" t="n"/>
      <c r="D36" s="2" t="n"/>
      <c r="E36" s="24" t="n">
        <v>10</v>
      </c>
      <c r="F36" s="14" t="inlineStr">
        <is>
          <t>Imprevisto Utilidad:</t>
        </is>
      </c>
      <c r="G36" s="2" t="n"/>
      <c r="H36" s="21">
        <f>ROUND((H35*E36)/100,2)</f>
        <v>42.14</v>
      </c>
    </row>
    <row r="37">
      <c r="B37" s="2" t="n"/>
      <c r="C37" s="2" t="n"/>
      <c r="D37" s="20" t="inlineStr">
        <is>
          <t>SUBTOTAL C:</t>
        </is>
      </c>
      <c r="E37" s="2" t="n"/>
      <c r="F37" s="2" t="n"/>
      <c r="G37" s="2" t="n"/>
      <c r="H37" s="21">
        <f>H35+H36</f>
        <v>463.56</v>
      </c>
    </row>
    <row r="38">
      <c r="B38" s="2" t="n"/>
      <c r="C38" s="2" t="n"/>
      <c r="D38" s="2" t="n"/>
      <c r="E38" s="24" t="n">
        <v>0</v>
      </c>
      <c r="F38" s="14" t="inlineStr">
        <is>
          <t>Financiamiento:</t>
        </is>
      </c>
      <c r="G38" s="2" t="n"/>
      <c r="H38" s="21">
        <f>ROUND((H37*E38)/100,2)</f>
        <v>0</v>
      </c>
    </row>
    <row r="39">
      <c r="B39" s="2" t="n"/>
      <c r="C39" s="2" t="n"/>
      <c r="D39" s="14" t="inlineStr">
        <is>
          <t>PRECIO UNITARIO SIN IMPUESTO:</t>
        </is>
      </c>
      <c r="E39" s="2" t="n"/>
      <c r="F39" s="2" t="n"/>
      <c r="G39" s="2" t="n"/>
      <c r="H39" s="21">
        <f>H37+H38</f>
        <v>463.56</v>
      </c>
    </row>
    <row r="40">
      <c r="B40" s="2" t="n"/>
      <c r="C40" s="2" t="n"/>
      <c r="D40" s="2" t="n"/>
      <c r="E40" s="24" t="n">
        <v>16</v>
      </c>
      <c r="F40" s="14" t="inlineStr">
        <is>
          <t>Impuesto (I.V.A.):</t>
        </is>
      </c>
      <c r="G40" s="2" t="n"/>
      <c r="H40" s="21">
        <f>ROUND((H39*E40)/100,2)</f>
        <v>74.17</v>
      </c>
    </row>
    <row r="41">
      <c r="B41" s="2" t="n"/>
      <c r="C41" s="2" t="n"/>
      <c r="D41" s="2" t="n"/>
      <c r="E41" s="24" t="n">
        <v>0</v>
      </c>
      <c r="F41" s="14" t="inlineStr">
        <is>
          <t>Otros Impuestos:</t>
        </is>
      </c>
      <c r="G41" s="2" t="n"/>
      <c r="H41" s="21">
        <f>ROUND((H39*E41)/100,2)</f>
        <v>0</v>
      </c>
    </row>
    <row r="42" ht="4.05" customHeight="1">
      <c r="B42" s="2" t="n"/>
      <c r="C42" s="2" t="n"/>
      <c r="D42" s="2" t="n"/>
      <c r="E42" s="2" t="n"/>
      <c r="F42" s="2" t="n"/>
      <c r="G42" s="2" t="n"/>
      <c r="H42" s="2" t="n"/>
    </row>
    <row r="43">
      <c r="B43" s="2" t="n"/>
      <c r="C43" s="2" t="n"/>
      <c r="D43" s="14" t="inlineStr">
        <is>
          <t>PRECIO UNITARIO (USD):</t>
        </is>
      </c>
      <c r="E43" s="2" t="n"/>
      <c r="F43" s="2" t="n"/>
      <c r="G43" s="2" t="n"/>
      <c r="H43" s="21">
        <f>H39+H40+H41</f>
        <v>537.73</v>
      </c>
    </row>
  </sheetData>
  <mergeCells count="26">
    <mergeCell ref="D39:G39"/>
    <mergeCell ref="D30:G30"/>
    <mergeCell ref="F40:G40"/>
    <mergeCell ref="C20:D20"/>
    <mergeCell ref="D28:F28"/>
    <mergeCell ref="C6:H7"/>
    <mergeCell ref="D35:G35"/>
    <mergeCell ref="B4:H4"/>
    <mergeCell ref="F36:G36"/>
    <mergeCell ref="C22:D22"/>
    <mergeCell ref="F32:G32"/>
    <mergeCell ref="D34:G34"/>
    <mergeCell ref="B3:H3"/>
    <mergeCell ref="F41:G41"/>
    <mergeCell ref="F17:G17"/>
    <mergeCell ref="D31:G31"/>
    <mergeCell ref="D29:F29"/>
    <mergeCell ref="C21:D21"/>
    <mergeCell ref="F38:G38"/>
    <mergeCell ref="F23:G23"/>
    <mergeCell ref="B36:C43"/>
    <mergeCell ref="E24:G24"/>
    <mergeCell ref="E33:G33"/>
    <mergeCell ref="B1:H1"/>
    <mergeCell ref="D43:G43"/>
    <mergeCell ref="D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2026-10-22T01:57:19Z</dcterms:created>
  <dcterms:modified xmlns:dcterms="http://purl.org/dc/terms/" xmlns:xsi="http://www.w3.org/2001/XMLSchema-instance" xsi:type="dcterms:W3CDTF">2026-10-22T01:57:19Z</dcterms:modified>
</cp:coreProperties>
</file>