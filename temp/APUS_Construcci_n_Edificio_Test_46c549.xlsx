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- E.111.100.000" sheetId="1" state="visible" r:id="rId1"/>
    <sheet xmlns:r="http://schemas.openxmlformats.org/officeDocument/2006/relationships" name="P2 - E.121.200.000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B1" s="1" t="inlineStr">
        <is>
          <t>ANÁLISIS DE PRECIO UNITARIO</t>
        </is>
      </c>
    </row>
    <row r="2">
      <c r="B2" t="inlineStr"/>
    </row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inlineStr">
        <is>
          <t>1</t>
        </is>
      </c>
      <c r="G5" t="inlineStr">
        <is>
          <t>Fecha:</t>
        </is>
      </c>
      <c r="H5" s="2" t="inlineStr">
        <is>
          <t>21/10/2026</t>
        </is>
      </c>
    </row>
    <row r="6">
      <c r="B6" t="inlineStr">
        <is>
          <t>Descripción:</t>
        </is>
      </c>
      <c r="C6" s="3" t="inlineStr">
        <is>
          <t>DEMOLICION DE CONCRETO</t>
        </is>
      </c>
    </row>
    <row r="7"/>
    <row r="8">
      <c r="G8" t="inlineStr">
        <is>
          <t>Rendimiento:</t>
        </is>
      </c>
      <c r="H8" s="2" t="n">
        <v>8</v>
      </c>
    </row>
    <row r="9">
      <c r="B9" t="inlineStr">
        <is>
          <t>Código:</t>
        </is>
      </c>
      <c r="C9" t="inlineStr">
        <is>
          <t>E.111.100.000</t>
        </is>
      </c>
      <c r="E9" t="inlineStr">
        <is>
          <t>Unidad:</t>
        </is>
      </c>
      <c r="F9" t="inlineStr">
        <is>
          <t>M3</t>
        </is>
      </c>
      <c r="G9" t="inlineStr">
        <is>
          <t>Cantidad:</t>
        </is>
      </c>
      <c r="H9" s="2" t="n">
        <v>15.5</v>
      </c>
    </row>
    <row r="10"/>
    <row r="11">
      <c r="B11" s="4" t="inlineStr">
        <is>
          <t>MATERIALES</t>
        </is>
      </c>
    </row>
    <row r="12">
      <c r="B12" s="5" t="inlineStr">
        <is>
          <t>No.</t>
        </is>
      </c>
      <c r="C12" s="5" t="inlineStr">
        <is>
          <t>Descripción</t>
        </is>
      </c>
      <c r="D12" s="5" t="inlineStr">
        <is>
          <t>Und.</t>
        </is>
      </c>
      <c r="E12" s="5" t="inlineStr">
        <is>
          <t>Cant.</t>
        </is>
      </c>
      <c r="F12" s="5" t="inlineStr">
        <is>
          <t>Desp.</t>
        </is>
      </c>
      <c r="G12" s="5" t="inlineStr">
        <is>
          <t>Precio</t>
        </is>
      </c>
      <c r="H12" s="6" t="inlineStr">
        <is>
          <t>Total</t>
        </is>
      </c>
    </row>
    <row r="13">
      <c r="B13" t="n">
        <v>1</v>
      </c>
      <c r="C13" t="inlineStr">
        <is>
          <t>Clavos para encofrado</t>
        </is>
      </c>
      <c r="D13" t="inlineStr">
        <is>
          <t>KG</t>
        </is>
      </c>
      <c r="E13" t="n">
        <v>2</v>
      </c>
      <c r="F13" t="n">
        <v>5</v>
      </c>
      <c r="G13" t="n">
        <v>3.5</v>
      </c>
      <c r="H13" s="7">
        <f>ROUND((G13*E13)*((F13/100)+1),2)</f>
        <v/>
      </c>
    </row>
    <row r="14">
      <c r="F14" t="inlineStr">
        <is>
          <t>Total Materiales:</t>
        </is>
      </c>
      <c r="H14" s="8">
        <f>SUM(H13:H13)</f>
        <v/>
      </c>
    </row>
    <row r="15"/>
    <row r="16">
      <c r="B16" s="4" t="inlineStr">
        <is>
          <t>EQUIPOS</t>
        </is>
      </c>
    </row>
    <row r="17">
      <c r="B17" s="5" t="inlineStr">
        <is>
          <t>No.</t>
        </is>
      </c>
      <c r="C17" s="5" t="inlineStr">
        <is>
          <t>Descripción</t>
        </is>
      </c>
      <c r="D17" s="5" t="inlineStr"/>
      <c r="E17" s="5" t="inlineStr">
        <is>
          <t>Cant.</t>
        </is>
      </c>
      <c r="F17" s="5" t="inlineStr">
        <is>
          <t>Cop/Dep</t>
        </is>
      </c>
      <c r="G17" s="5" t="inlineStr">
        <is>
          <t>Precio</t>
        </is>
      </c>
      <c r="H17" s="6" t="inlineStr">
        <is>
          <t>Total</t>
        </is>
      </c>
    </row>
    <row r="18">
      <c r="B18" t="n">
        <v>1</v>
      </c>
      <c r="C18" t="inlineStr">
        <is>
          <t>Compresor de Aire</t>
        </is>
      </c>
      <c r="E18" t="n">
        <v>1</v>
      </c>
      <c r="F18" t="n">
        <v>1</v>
      </c>
      <c r="G18" t="n">
        <v>45</v>
      </c>
      <c r="H18" s="7">
        <f>ROUND((G18*E18)*(F18),2)</f>
        <v/>
      </c>
    </row>
    <row r="19">
      <c r="F19" t="inlineStr">
        <is>
          <t>Total Equipos:</t>
        </is>
      </c>
      <c r="H19" s="8">
        <f>SUM(H18:H18)</f>
        <v/>
      </c>
    </row>
    <row r="20">
      <c r="E20" t="inlineStr">
        <is>
          <t>Costo Unitarios Equipos:</t>
        </is>
      </c>
      <c r="H20" s="8">
        <f>ROUND(H19/H8,2)</f>
        <v/>
      </c>
    </row>
    <row r="21"/>
    <row r="22">
      <c r="B22" s="4" t="inlineStr">
        <is>
          <t>MANO DE OBRA</t>
        </is>
      </c>
    </row>
    <row r="23">
      <c r="B23" s="5" t="inlineStr">
        <is>
          <t>No.</t>
        </is>
      </c>
      <c r="C23" s="5" t="inlineStr">
        <is>
          <t>Descripción</t>
        </is>
      </c>
      <c r="D23" s="5" t="inlineStr">
        <is>
          <t>Cant.</t>
        </is>
      </c>
      <c r="E23" s="5" t="inlineStr">
        <is>
          <t>Jornal</t>
        </is>
      </c>
      <c r="F23" s="5" t="inlineStr">
        <is>
          <t>Bono</t>
        </is>
      </c>
      <c r="G23" s="5" t="inlineStr">
        <is>
          <t>Total Jornal</t>
        </is>
      </c>
      <c r="H23" s="6" t="inlineStr">
        <is>
          <t>Total Bono</t>
        </is>
      </c>
    </row>
    <row r="24">
      <c r="B24" t="n">
        <v>1</v>
      </c>
      <c r="C24" t="inlineStr">
        <is>
          <t>Caporal</t>
        </is>
      </c>
      <c r="D24" s="9" t="n">
        <v>1</v>
      </c>
      <c r="E24" s="9" t="n">
        <v>30</v>
      </c>
      <c r="F24" s="9" t="n">
        <v>25</v>
      </c>
      <c r="G24" s="9">
        <f>ROUND((D24*E24),2)</f>
        <v/>
      </c>
      <c r="H24" s="7">
        <f>ROUND((D24*F24),2)</f>
        <v/>
      </c>
    </row>
    <row r="25">
      <c r="B25" t="n">
        <v>2</v>
      </c>
      <c r="C25" t="inlineStr">
        <is>
          <t>Obrero</t>
        </is>
      </c>
      <c r="D25" s="9" t="n">
        <v>3</v>
      </c>
      <c r="E25" s="9" t="n">
        <v>15</v>
      </c>
      <c r="F25" s="9" t="n">
        <v>20</v>
      </c>
      <c r="G25" s="9">
        <f>ROUND((D25*E25),2)</f>
        <v/>
      </c>
      <c r="H25" s="7">
        <f>ROUND((D25*F25),2)</f>
        <v/>
      </c>
    </row>
    <row r="26">
      <c r="D26" t="inlineStr">
        <is>
          <t>SubTotal Mano de Obra:</t>
        </is>
      </c>
      <c r="G26" s="10">
        <f>SUM(G24:G25)</f>
        <v/>
      </c>
      <c r="H26" s="8">
        <f>SUM(H24:H25)</f>
        <v/>
      </c>
    </row>
    <row r="27">
      <c r="C27" s="11" t="n">
        <v>417</v>
      </c>
      <c r="D27" t="inlineStr">
        <is>
          <t>Prestaciones Sociales:</t>
        </is>
      </c>
      <c r="G27" s="9">
        <f>ROUND((C27/100)*G26,2)</f>
        <v/>
      </c>
      <c r="H27" s="2" t="n">
        <v>0</v>
      </c>
    </row>
    <row r="28">
      <c r="D28" t="inlineStr">
        <is>
          <t>Total General Mano de Obra:</t>
        </is>
      </c>
      <c r="H28" s="8">
        <f>G27+H27+G26+H26</f>
        <v/>
      </c>
    </row>
    <row r="29">
      <c r="D29" t="inlineStr">
        <is>
          <t>Costo Unitario de Mano de Obra:</t>
        </is>
      </c>
      <c r="H29" s="8">
        <f>ROUND(H28/H8,2)</f>
        <v/>
      </c>
    </row>
    <row r="30"/>
    <row r="31"/>
    <row r="32">
      <c r="E32" t="inlineStr">
        <is>
          <t>COSTO DIRECTO SUBTOTAL A:</t>
        </is>
      </c>
      <c r="H32" s="8">
        <f>ROUND(H14+H20+H29,2)</f>
        <v/>
      </c>
    </row>
    <row r="33">
      <c r="C33" s="11" t="n">
        <v>15</v>
      </c>
      <c r="D33" t="inlineStr">
        <is>
          <t>Administración y Gastos Generales:</t>
        </is>
      </c>
      <c r="H33" s="7">
        <f>ROUND((H32*C33)/100,2)</f>
        <v/>
      </c>
    </row>
    <row r="34">
      <c r="D34" t="inlineStr">
        <is>
          <t>SUBTOTAL B:</t>
        </is>
      </c>
      <c r="H34" s="8">
        <f>H32+H33</f>
        <v/>
      </c>
    </row>
    <row r="35">
      <c r="E35" s="11" t="n">
        <v>10</v>
      </c>
      <c r="F35" t="inlineStr">
        <is>
          <t>Imprevisto Utilidad:</t>
        </is>
      </c>
      <c r="H35" s="7">
        <f>ROUND((H34*E35)/100,2)</f>
        <v/>
      </c>
    </row>
    <row r="36">
      <c r="D36" t="inlineStr">
        <is>
          <t>SUBTOTAL C:</t>
        </is>
      </c>
      <c r="H36" s="8">
        <f>H34+H35</f>
        <v/>
      </c>
    </row>
    <row r="37">
      <c r="E37" s="11" t="n">
        <v>0</v>
      </c>
      <c r="F37" t="inlineStr">
        <is>
          <t>Financiamiento:</t>
        </is>
      </c>
      <c r="H37" s="7">
        <f>ROUND((H36*E37)/100,2)</f>
        <v/>
      </c>
    </row>
    <row r="38">
      <c r="D38" t="inlineStr">
        <is>
          <t>PRECIO UNITARIO SIN IMPUESTO:</t>
        </is>
      </c>
      <c r="H38" s="8">
        <f>H36+H37</f>
        <v/>
      </c>
    </row>
    <row r="39">
      <c r="B39" s="12" t="inlineStr">
        <is>
          <t>SON: ( CIENTO CINCO CON 75/100 DÓLARES ctms )</t>
        </is>
      </c>
      <c r="E39" s="11" t="n">
        <v>16</v>
      </c>
      <c r="F39" t="inlineStr">
        <is>
          <t>Impuesto (I.V.A.):</t>
        </is>
      </c>
      <c r="H39" s="7">
        <f>ROUND((H38*E39)/100,2)</f>
        <v/>
      </c>
    </row>
    <row r="40">
      <c r="E40" s="11" t="n">
        <v>0</v>
      </c>
      <c r="F40" t="inlineStr">
        <is>
          <t>Otros Impuestos:</t>
        </is>
      </c>
      <c r="H40" s="7">
        <f>ROUND((H38*E40)/100,2)</f>
        <v/>
      </c>
    </row>
    <row r="41"/>
    <row r="42">
      <c r="D42" t="inlineStr">
        <is>
          <t>PRECIO UNITARIO (USD):</t>
        </is>
      </c>
      <c r="H42" s="8">
        <f>H38+H39+H40</f>
        <v/>
      </c>
    </row>
  </sheetData>
  <mergeCells count="7">
    <mergeCell ref="B22:H22"/>
    <mergeCell ref="C6:H7"/>
    <mergeCell ref="B1:H1"/>
    <mergeCell ref="B16:H16"/>
    <mergeCell ref="B2:H2"/>
    <mergeCell ref="B11:H11"/>
    <mergeCell ref="B39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B1" s="1" t="inlineStr">
        <is>
          <t>ANÁLISIS DE PRECIO UNITARIO</t>
        </is>
      </c>
    </row>
    <row r="2">
      <c r="B2" t="inlineStr"/>
    </row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inlineStr">
        <is>
          <t>2</t>
        </is>
      </c>
      <c r="G5" t="inlineStr">
        <is>
          <t>Fecha:</t>
        </is>
      </c>
      <c r="H5" s="2" t="inlineStr">
        <is>
          <t>21/10/2026</t>
        </is>
      </c>
    </row>
    <row r="6">
      <c r="B6" t="inlineStr">
        <is>
          <t>Descripción:</t>
        </is>
      </c>
      <c r="C6" s="3" t="inlineStr">
        <is>
          <t>EXCAVACION EN ZANJA</t>
        </is>
      </c>
    </row>
    <row r="7"/>
    <row r="8">
      <c r="G8" t="inlineStr">
        <is>
          <t>Rendimiento:</t>
        </is>
      </c>
      <c r="H8" s="2" t="n">
        <v>12</v>
      </c>
    </row>
    <row r="9">
      <c r="B9" t="inlineStr">
        <is>
          <t>Código:</t>
        </is>
      </c>
      <c r="C9" t="inlineStr">
        <is>
          <t>E.121.200.000</t>
        </is>
      </c>
      <c r="E9" t="inlineStr">
        <is>
          <t>Unidad:</t>
        </is>
      </c>
      <c r="F9" t="inlineStr">
        <is>
          <t>M3</t>
        </is>
      </c>
      <c r="G9" t="inlineStr">
        <is>
          <t>Cantidad:</t>
        </is>
      </c>
      <c r="H9" s="2" t="n">
        <v>40</v>
      </c>
    </row>
    <row r="10"/>
    <row r="11">
      <c r="B11" s="4" t="inlineStr">
        <is>
          <t>MATERIALES</t>
        </is>
      </c>
    </row>
    <row r="12">
      <c r="B12" s="5" t="inlineStr">
        <is>
          <t>No.</t>
        </is>
      </c>
      <c r="C12" s="5" t="inlineStr">
        <is>
          <t>Descripción</t>
        </is>
      </c>
      <c r="D12" s="5" t="inlineStr">
        <is>
          <t>Und.</t>
        </is>
      </c>
      <c r="E12" s="5" t="inlineStr">
        <is>
          <t>Cant.</t>
        </is>
      </c>
      <c r="F12" s="5" t="inlineStr">
        <is>
          <t>Desp.</t>
        </is>
      </c>
      <c r="G12" s="5" t="inlineStr">
        <is>
          <t>Precio</t>
        </is>
      </c>
      <c r="H12" s="6" t="inlineStr">
        <is>
          <t>Total</t>
        </is>
      </c>
    </row>
    <row r="13">
      <c r="F13" t="inlineStr">
        <is>
          <t>Total Materiales:</t>
        </is>
      </c>
      <c r="H13" s="8" t="n">
        <v>0</v>
      </c>
    </row>
    <row r="14"/>
    <row r="15">
      <c r="B15" s="4" t="inlineStr">
        <is>
          <t>EQUIPOS</t>
        </is>
      </c>
    </row>
    <row r="16">
      <c r="B16" s="5" t="inlineStr">
        <is>
          <t>No.</t>
        </is>
      </c>
      <c r="C16" s="5" t="inlineStr">
        <is>
          <t>Descripción</t>
        </is>
      </c>
      <c r="D16" s="5" t="inlineStr"/>
      <c r="E16" s="5" t="inlineStr">
        <is>
          <t>Cant.</t>
        </is>
      </c>
      <c r="F16" s="5" t="inlineStr">
        <is>
          <t>Cop/Dep</t>
        </is>
      </c>
      <c r="G16" s="5" t="inlineStr">
        <is>
          <t>Precio</t>
        </is>
      </c>
      <c r="H16" s="6" t="inlineStr">
        <is>
          <t>Total</t>
        </is>
      </c>
    </row>
    <row r="17">
      <c r="B17" t="n">
        <v>1</v>
      </c>
      <c r="C17" t="inlineStr">
        <is>
          <t>Retroexcavadora</t>
        </is>
      </c>
      <c r="E17" t="n">
        <v>1</v>
      </c>
      <c r="F17" t="n">
        <v>1</v>
      </c>
      <c r="G17" t="n">
        <v>120</v>
      </c>
      <c r="H17" s="7">
        <f>ROUND((G17*E17)*(F17),2)</f>
        <v/>
      </c>
    </row>
    <row r="18">
      <c r="F18" t="inlineStr">
        <is>
          <t>Total Equipos:</t>
        </is>
      </c>
      <c r="H18" s="8">
        <f>SUM(H17:H17)</f>
        <v/>
      </c>
    </row>
    <row r="19">
      <c r="E19" t="inlineStr">
        <is>
          <t>Costo Unitarios Equipos:</t>
        </is>
      </c>
      <c r="H19" s="8">
        <f>ROUND(H18/H8,2)</f>
        <v/>
      </c>
    </row>
    <row r="20"/>
    <row r="21">
      <c r="B21" s="4" t="inlineStr">
        <is>
          <t>MANO DE OBRA</t>
        </is>
      </c>
    </row>
    <row r="22">
      <c r="B22" s="5" t="inlineStr">
        <is>
          <t>No.</t>
        </is>
      </c>
      <c r="C22" s="5" t="inlineStr">
        <is>
          <t>Descripción</t>
        </is>
      </c>
      <c r="D22" s="5" t="inlineStr">
        <is>
          <t>Cant.</t>
        </is>
      </c>
      <c r="E22" s="5" t="inlineStr">
        <is>
          <t>Jornal</t>
        </is>
      </c>
      <c r="F22" s="5" t="inlineStr">
        <is>
          <t>Bono</t>
        </is>
      </c>
      <c r="G22" s="5" t="inlineStr">
        <is>
          <t>Total Jornal</t>
        </is>
      </c>
      <c r="H22" s="6" t="inlineStr">
        <is>
          <t>Total Bono</t>
        </is>
      </c>
    </row>
    <row r="23">
      <c r="B23" t="n">
        <v>1</v>
      </c>
      <c r="C23" t="inlineStr">
        <is>
          <t>Operador</t>
        </is>
      </c>
      <c r="D23" s="9" t="n">
        <v>1</v>
      </c>
      <c r="E23" s="9" t="n">
        <v>35</v>
      </c>
      <c r="F23" s="9" t="n">
        <v>30</v>
      </c>
      <c r="G23" s="9">
        <f>ROUND((D23*E23),2)</f>
        <v/>
      </c>
      <c r="H23" s="7">
        <f>ROUND((D23*F23),2)</f>
        <v/>
      </c>
    </row>
    <row r="24">
      <c r="D24" t="inlineStr">
        <is>
          <t>SubTotal Mano de Obra:</t>
        </is>
      </c>
      <c r="G24" s="10">
        <f>SUM(G23:G23)</f>
        <v/>
      </c>
      <c r="H24" s="8">
        <f>SUM(H23:H23)</f>
        <v/>
      </c>
    </row>
    <row r="25">
      <c r="C25" s="11" t="n">
        <v>417</v>
      </c>
      <c r="D25" t="inlineStr">
        <is>
          <t>Prestaciones Sociales:</t>
        </is>
      </c>
      <c r="G25" s="9">
        <f>ROUND((C25/100)*G24,2)</f>
        <v/>
      </c>
      <c r="H25" s="2" t="n">
        <v>0</v>
      </c>
    </row>
    <row r="26">
      <c r="D26" t="inlineStr">
        <is>
          <t>Total General Mano de Obra:</t>
        </is>
      </c>
      <c r="H26" s="8">
        <f>G25+H25+G24+H24</f>
        <v/>
      </c>
    </row>
    <row r="27">
      <c r="D27" t="inlineStr">
        <is>
          <t>Costo Unitario de Mano de Obra:</t>
        </is>
      </c>
      <c r="H27" s="8">
        <f>ROUND(H26/H8,2)</f>
        <v/>
      </c>
    </row>
    <row r="28"/>
    <row r="29"/>
    <row r="30">
      <c r="E30" t="inlineStr">
        <is>
          <t>COSTO DIRECTO SUBTOTAL A:</t>
        </is>
      </c>
      <c r="H30" s="8">
        <f>ROUND(H13+H19+H27,2)</f>
        <v/>
      </c>
    </row>
    <row r="31">
      <c r="C31" s="11" t="n">
        <v>15</v>
      </c>
      <c r="D31" t="inlineStr">
        <is>
          <t>Administración y Gastos Generales:</t>
        </is>
      </c>
      <c r="H31" s="7">
        <f>ROUND((H30*C31)/100,2)</f>
        <v/>
      </c>
    </row>
    <row r="32">
      <c r="D32" t="inlineStr">
        <is>
          <t>SUBTOTAL B:</t>
        </is>
      </c>
      <c r="H32" s="8">
        <f>H30+H31</f>
        <v/>
      </c>
    </row>
    <row r="33">
      <c r="E33" s="11" t="n">
        <v>10</v>
      </c>
      <c r="F33" t="inlineStr">
        <is>
          <t>Imprevisto Utilidad:</t>
        </is>
      </c>
      <c r="H33" s="7">
        <f>ROUND((H32*E33)/100,2)</f>
        <v/>
      </c>
    </row>
    <row r="34">
      <c r="D34" t="inlineStr">
        <is>
          <t>SUBTOTAL C:</t>
        </is>
      </c>
      <c r="H34" s="8">
        <f>H32+H33</f>
        <v/>
      </c>
    </row>
    <row r="35">
      <c r="E35" s="11" t="n">
        <v>0</v>
      </c>
      <c r="F35" t="inlineStr">
        <is>
          <t>Financiamiento:</t>
        </is>
      </c>
      <c r="H35" s="7">
        <f>ROUND((H34*E35)/100,2)</f>
        <v/>
      </c>
    </row>
    <row r="36">
      <c r="D36" t="inlineStr">
        <is>
          <t>PRECIO UNITARIO SIN IMPUESTO:</t>
        </is>
      </c>
      <c r="H36" s="8">
        <f>H34+H35</f>
        <v/>
      </c>
    </row>
    <row r="37">
      <c r="B37" s="12" t="inlineStr">
        <is>
          <t>SON: ( CUARENTA CON 47/100 DÓLARES ctms )</t>
        </is>
      </c>
      <c r="E37" s="11" t="n">
        <v>16</v>
      </c>
      <c r="F37" t="inlineStr">
        <is>
          <t>Impuesto (I.V.A.):</t>
        </is>
      </c>
      <c r="H37" s="7">
        <f>ROUND((H36*E37)/100,2)</f>
        <v/>
      </c>
    </row>
    <row r="38">
      <c r="E38" s="11" t="n">
        <v>0</v>
      </c>
      <c r="F38" t="inlineStr">
        <is>
          <t>Otros Impuestos:</t>
        </is>
      </c>
      <c r="H38" s="7">
        <f>ROUND((H36*E38)/100,2)</f>
        <v/>
      </c>
    </row>
    <row r="39"/>
    <row r="40">
      <c r="D40" t="inlineStr">
        <is>
          <t>PRECIO UNITARIO (USD):</t>
        </is>
      </c>
      <c r="H40" s="8">
        <f>H36+H37+H38</f>
        <v/>
      </c>
    </row>
  </sheetData>
  <mergeCells count="7">
    <mergeCell ref="C6:H7"/>
    <mergeCell ref="B1:H1"/>
    <mergeCell ref="B21:H21"/>
    <mergeCell ref="B37:C39"/>
    <mergeCell ref="B2:H2"/>
    <mergeCell ref="B15:H1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2026-10-21T15:43:22Z</dcterms:created>
  <dcterms:modified xmlns:dcterms="http://purl.org/dc/terms/" xmlns:xsi="http://www.w3.org/2001/XMLSchema-instance" xsi:type="dcterms:W3CDTF">2026-10-21T15:43:22Z</dcterms:modified>
</cp:coreProperties>
</file>