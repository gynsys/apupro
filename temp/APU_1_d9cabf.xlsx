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1"/>
    </font>
    <font>
      <name val="Calibri"/>
      <b val="1"/>
      <color rgb="00000000"/>
      <sz val="12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0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left" vertical="center" wrapText="1"/>
    </xf>
    <xf numFmtId="4" fontId="4" fillId="0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center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1" workbookViewId="0">
      <selection activeCell="A1" sqref="A1"/>
    </sheetView>
  </sheetViews>
  <sheetFormatPr baseColWidth="8" defaultRowHeight="15"/>
  <cols>
    <col hidden="1" min="1" max="1"/>
    <col width="8.21875" customWidth="1" min="2" max="2"/>
    <col width="30.77734375" customWidth="1" min="3" max="3"/>
    <col width="5.77734375" customWidth="1" min="4" max="4"/>
    <col width="7.21875" customWidth="1" min="5" max="5"/>
    <col width="6.33203125" customWidth="1" min="6" max="6"/>
    <col width="10.109375" customWidth="1" min="7" max="7"/>
    <col width="12.109375" customWidth="1" min="8" max="8"/>
  </cols>
  <sheetData>
    <row r="1">
      <c r="B1" s="1" t="inlineStr">
        <is>
          <t>ANÁLISIS DE PRECIO UNITARIO</t>
        </is>
      </c>
    </row>
    <row r="2"/>
    <row r="3">
      <c r="B3" t="inlineStr">
        <is>
          <t xml:space="preserve">Obra: </t>
        </is>
      </c>
    </row>
    <row r="4">
      <c r="B4" t="inlineStr">
        <is>
          <t xml:space="preserve">Contratante: </t>
        </is>
      </c>
    </row>
    <row r="5">
      <c r="E5" t="inlineStr">
        <is>
          <t>Part. No.:</t>
        </is>
      </c>
      <c r="F5" t="n">
        <v>1</v>
      </c>
      <c r="G5" t="inlineStr">
        <is>
          <t>Fecha:</t>
        </is>
      </c>
      <c r="H5" s="2" t="n">
        <v>46316.56537128632</v>
      </c>
    </row>
    <row r="6">
      <c r="B6" t="inlineStr">
        <is>
          <t>Descripción:</t>
        </is>
      </c>
      <c r="C6" s="3" t="inlineStr">
        <is>
          <t>PRUEBA SIN MATERIALES</t>
        </is>
      </c>
    </row>
    <row r="7"/>
    <row r="8">
      <c r="G8" t="inlineStr">
        <is>
          <t>Rendimiento:</t>
        </is>
      </c>
      <c r="H8" s="4" t="n">
        <v>1</v>
      </c>
    </row>
    <row r="9">
      <c r="B9" t="inlineStr">
        <is>
          <t>Código:</t>
        </is>
      </c>
      <c r="C9" t="inlineStr">
        <is>
          <t>1</t>
        </is>
      </c>
      <c r="E9" t="inlineStr">
        <is>
          <t>Unidad:</t>
        </is>
      </c>
      <c r="F9" t="inlineStr">
        <is>
          <t>und</t>
        </is>
      </c>
      <c r="G9" t="inlineStr">
        <is>
          <t>Cantidad:</t>
        </is>
      </c>
      <c r="H9" s="4" t="n">
        <v>1</v>
      </c>
    </row>
    <row r="10"/>
    <row r="11">
      <c r="B11" s="5" t="inlineStr">
        <is>
          <t>MATERIALES</t>
        </is>
      </c>
    </row>
    <row r="12">
      <c r="B12" s="6" t="inlineStr">
        <is>
          <t>No.</t>
        </is>
      </c>
      <c r="C12" s="6" t="inlineStr">
        <is>
          <t>Descripción</t>
        </is>
      </c>
      <c r="D12" s="6" t="inlineStr">
        <is>
          <t>Und.</t>
        </is>
      </c>
      <c r="E12" s="6" t="inlineStr">
        <is>
          <t>Cant.</t>
        </is>
      </c>
      <c r="F12" s="6" t="inlineStr">
        <is>
          <t>Desp.</t>
        </is>
      </c>
      <c r="G12" s="6" t="inlineStr">
        <is>
          <t>Precio</t>
        </is>
      </c>
      <c r="H12" s="7" t="inlineStr">
        <is>
          <t>Total</t>
        </is>
      </c>
    </row>
    <row r="13">
      <c r="F13" t="inlineStr">
        <is>
          <t>Total Materiales:</t>
        </is>
      </c>
      <c r="H13" s="8" t="n">
        <v>0</v>
      </c>
    </row>
    <row r="14" hidden="1"/>
    <row r="15">
      <c r="B15" s="5" t="inlineStr">
        <is>
          <t>EQUIPOS</t>
        </is>
      </c>
    </row>
    <row r="16">
      <c r="B16" s="6" t="inlineStr">
        <is>
          <t>No.</t>
        </is>
      </c>
      <c r="C16" s="6" t="inlineStr">
        <is>
          <t>Descripción</t>
        </is>
      </c>
      <c r="D16" s="9" t="n"/>
      <c r="E16" s="6" t="inlineStr">
        <is>
          <t>Cant.</t>
        </is>
      </c>
      <c r="F16" s="6" t="inlineStr">
        <is>
          <t>Cop/Dep</t>
        </is>
      </c>
      <c r="G16" s="6" t="inlineStr">
        <is>
          <t>Precio</t>
        </is>
      </c>
      <c r="H16" s="7" t="inlineStr">
        <is>
          <t>Total</t>
        </is>
      </c>
    </row>
    <row r="17">
      <c r="A17" s="10" t="inlineStr">
        <is>
          <t>EQU-HER-022</t>
        </is>
      </c>
      <c r="B17" t="n">
        <v>1</v>
      </c>
      <c r="C17" t="inlineStr">
        <is>
          <t>CARRETILLA</t>
        </is>
      </c>
      <c r="E17" t="n">
        <v>1</v>
      </c>
      <c r="F17" t="n">
        <v>0.02</v>
      </c>
      <c r="G17" t="n">
        <v>120</v>
      </c>
      <c r="H17" s="11">
        <f>ROUND((G17*E17)*(F17),2)</f>
        <v>2.4</v>
      </c>
    </row>
    <row r="18">
      <c r="A18" s="10" t="inlineStr">
        <is>
          <t>EQU-LIV-088</t>
        </is>
      </c>
      <c r="B18" t="n">
        <v>2</v>
      </c>
      <c r="C18" t="inlineStr">
        <is>
          <t>TORRE</t>
        </is>
      </c>
      <c r="E18" t="n">
        <v>1</v>
      </c>
      <c r="F18" t="n">
        <v>1</v>
      </c>
      <c r="G18" t="n">
        <v>66.40000000000001</v>
      </c>
      <c r="H18" s="11">
        <f>ROUND((G18*E18)*(F18),2)</f>
        <v>66.4</v>
      </c>
    </row>
    <row r="19">
      <c r="A19" s="10" t="inlineStr">
        <is>
          <t>EQU-GEN-043</t>
        </is>
      </c>
      <c r="B19" t="n">
        <v>3</v>
      </c>
      <c r="C19" t="inlineStr">
        <is>
          <t>BARRA</t>
        </is>
      </c>
      <c r="E19" t="n">
        <v>1</v>
      </c>
      <c r="F19" t="n">
        <v>0.03</v>
      </c>
      <c r="G19" t="n">
        <v>127.79</v>
      </c>
      <c r="H19" s="11">
        <f>ROUND((G19*E19)*(F19),2)</f>
        <v>3.83</v>
      </c>
    </row>
    <row r="20">
      <c r="A20" s="10" t="inlineStr">
        <is>
          <t>EQU-GEN-582</t>
        </is>
      </c>
      <c r="B20" t="n">
        <v>4</v>
      </c>
      <c r="C20" t="inlineStr">
        <is>
          <t>HERRAMIENTAS</t>
        </is>
      </c>
      <c r="E20" t="n">
        <v>1</v>
      </c>
      <c r="F20" t="n">
        <v>0.006272</v>
      </c>
      <c r="G20" t="n">
        <v>100</v>
      </c>
      <c r="H20" s="11">
        <f>ROUND((G20*E20)*(F20),2)</f>
        <v>0.63</v>
      </c>
    </row>
    <row r="21">
      <c r="A21" s="10" t="inlineStr">
        <is>
          <t>COP074</t>
        </is>
      </c>
      <c r="B21" t="n">
        <v>5</v>
      </c>
      <c r="C21" t="inlineStr">
        <is>
          <t>CAMIONETA</t>
        </is>
      </c>
      <c r="E21" t="n">
        <v>2</v>
      </c>
      <c r="F21" t="n">
        <v>0.004979</v>
      </c>
      <c r="G21" t="n">
        <v>64739.04</v>
      </c>
      <c r="H21" s="11">
        <f>ROUND((G21*E21)*(F21),2)</f>
        <v>644.67</v>
      </c>
    </row>
    <row r="22">
      <c r="F22" t="inlineStr">
        <is>
          <t>Total Equipos:</t>
        </is>
      </c>
      <c r="H22" s="8">
        <f>SUM(H17:H21)</f>
        <v>717.93</v>
      </c>
    </row>
    <row r="23">
      <c r="E23" t="inlineStr">
        <is>
          <t>Costo Unitarios Equipos:</t>
        </is>
      </c>
      <c r="H23" s="8">
        <f>ROUND(H22/H8,2)</f>
        <v>717.93</v>
      </c>
    </row>
    <row r="24" hidden="1"/>
    <row r="25">
      <c r="B25" s="5" t="inlineStr">
        <is>
          <t>MANO DE OBRA</t>
        </is>
      </c>
    </row>
    <row r="26">
      <c r="B26" s="6" t="inlineStr">
        <is>
          <t>No.</t>
        </is>
      </c>
      <c r="C26" s="6" t="inlineStr">
        <is>
          <t>Descripción</t>
        </is>
      </c>
      <c r="D26" s="6" t="inlineStr">
        <is>
          <t>Cant.</t>
        </is>
      </c>
      <c r="E26" s="6" t="inlineStr">
        <is>
          <t>Jornal</t>
        </is>
      </c>
      <c r="F26" s="6" t="inlineStr">
        <is>
          <t>Bono</t>
        </is>
      </c>
      <c r="G26" s="6" t="inlineStr">
        <is>
          <t>Total Jornal</t>
        </is>
      </c>
      <c r="H26" s="7" t="inlineStr">
        <is>
          <t>Total Bono</t>
        </is>
      </c>
    </row>
    <row r="27">
      <c r="A27" s="10" t="inlineStr">
        <is>
          <t>1-1.2</t>
        </is>
      </c>
      <c r="B27" t="n">
        <v>1</v>
      </c>
      <c r="C27" t="inlineStr">
        <is>
          <t>AYUDANTE</t>
        </is>
      </c>
      <c r="D27" s="12" t="n">
        <v>2</v>
      </c>
      <c r="E27" s="12" t="n">
        <v>2.44</v>
      </c>
      <c r="F27" s="12" t="n">
        <v>3.22</v>
      </c>
      <c r="G27" s="12">
        <f>ROUND((D27*E27),2)</f>
        <v>4.88</v>
      </c>
      <c r="H27" s="11">
        <f>ROUND((D27*F27),2)</f>
        <v>6.44</v>
      </c>
    </row>
    <row r="28">
      <c r="A28" s="10" t="inlineStr">
        <is>
          <t>4-3.3</t>
        </is>
      </c>
      <c r="B28" t="n">
        <v>2</v>
      </c>
      <c r="C28" t="inlineStr">
        <is>
          <t>CHOFER</t>
        </is>
      </c>
      <c r="D28" s="12" t="n">
        <v>1</v>
      </c>
      <c r="E28" s="12" t="n">
        <v>2.44</v>
      </c>
      <c r="F28" s="12" t="n">
        <v>3.22</v>
      </c>
      <c r="G28" s="12">
        <f>ROUND((D28*E28),2)</f>
        <v>2.44</v>
      </c>
      <c r="H28" s="11">
        <f>ROUND((D28*F28),2)</f>
        <v>3.22</v>
      </c>
    </row>
    <row r="29">
      <c r="A29" s="10" t="inlineStr">
        <is>
          <t>1-1.1</t>
        </is>
      </c>
      <c r="B29" t="n">
        <v>3</v>
      </c>
      <c r="C29" t="inlineStr">
        <is>
          <t>OBRERO</t>
        </is>
      </c>
      <c r="D29" s="12" t="n">
        <v>2</v>
      </c>
      <c r="E29" s="12" t="n">
        <v>2.25</v>
      </c>
      <c r="F29" s="12" t="n">
        <v>0</v>
      </c>
      <c r="G29" s="12">
        <f>ROUND((D29*E29),2)</f>
        <v>4.5</v>
      </c>
      <c r="H29" s="11">
        <f>ROUND((D29*F29),2)</f>
        <v>0</v>
      </c>
    </row>
    <row r="30">
      <c r="A30" s="10" t="inlineStr">
        <is>
          <t>MO-DIR-38</t>
        </is>
      </c>
      <c r="B30" t="n">
        <v>4</v>
      </c>
      <c r="C30" t="inlineStr">
        <is>
          <t>MAESTRO</t>
        </is>
      </c>
      <c r="D30" s="12" t="n">
        <v>0.25</v>
      </c>
      <c r="E30" s="12" t="n">
        <v>3.6</v>
      </c>
      <c r="F30" s="12" t="n">
        <v>5.75</v>
      </c>
      <c r="G30" s="12">
        <f>ROUND((D30*E30),2)</f>
        <v>0.9</v>
      </c>
      <c r="H30" s="11">
        <f>ROUND((D30*F30),2)</f>
        <v>1.44</v>
      </c>
    </row>
    <row r="31">
      <c r="D31" t="inlineStr">
        <is>
          <t>SubTotal Mano de Obra:</t>
        </is>
      </c>
      <c r="G31" s="13">
        <f>SUM(G27:G30)</f>
        <v>12.72</v>
      </c>
      <c r="H31" s="8">
        <f>SUM(H27:H30)</f>
        <v>11.1</v>
      </c>
    </row>
    <row r="32">
      <c r="C32" s="14" t="n">
        <v>417</v>
      </c>
      <c r="D32" t="inlineStr">
        <is>
          <t>Prestaciones Sociales:</t>
        </is>
      </c>
      <c r="G32" s="12">
        <f>ROUND((C32/100)*G31,2)</f>
        <v>53.04</v>
      </c>
      <c r="H32" s="4" t="n">
        <v>0</v>
      </c>
    </row>
    <row r="33">
      <c r="D33" t="inlineStr">
        <is>
          <t>Total General Mano de Obra:</t>
        </is>
      </c>
      <c r="H33" s="8">
        <f>G32+H32+G31+H31</f>
        <v>76.86</v>
      </c>
    </row>
    <row r="34">
      <c r="D34" t="inlineStr">
        <is>
          <t>Costo Unitario de Mano de Obra:</t>
        </is>
      </c>
      <c r="H34" s="8">
        <f>ROUND(H33/H8,2)</f>
        <v>76.86</v>
      </c>
    </row>
    <row r="35">
      <c r="E35" s="14" t="n">
        <v>0</v>
      </c>
      <c r="F35" t="inlineStr">
        <is>
          <t>Otros Impuestos:</t>
        </is>
      </c>
      <c r="H35" s="11">
        <f>ROUND((H33*E35)/100,2)</f>
        <v>0</v>
      </c>
    </row>
    <row r="36">
      <c r="E36" t="inlineStr">
        <is>
          <t>COSTO DIRECTO SUBTOTAL A:</t>
        </is>
      </c>
      <c r="H36" s="8">
        <f>ROUND(H13+H23+H34,2)</f>
        <v>794.79</v>
      </c>
    </row>
    <row r="37">
      <c r="C37" s="14" t="n">
        <v>15</v>
      </c>
      <c r="D37" t="inlineStr">
        <is>
          <t>Administración y Gastos Generales:</t>
        </is>
      </c>
      <c r="H37" s="11">
        <f>ROUND((H36*C37)/100,2)</f>
        <v>119.22</v>
      </c>
    </row>
    <row r="38">
      <c r="D38" t="inlineStr">
        <is>
          <t>SUBTOTAL B:</t>
        </is>
      </c>
      <c r="H38" s="8">
        <f>H36+H37</f>
        <v>914.01</v>
      </c>
    </row>
    <row r="39">
      <c r="B39" s="15" t="inlineStr">
        <is>
          <t>SON: ( MIL CINCO DÓLARES con 41/100 ctms )</t>
        </is>
      </c>
      <c r="E39" s="14" t="n">
        <v>10</v>
      </c>
      <c r="F39" t="inlineStr">
        <is>
          <t>Imprevisto Utilidad:</t>
        </is>
      </c>
      <c r="H39" s="11">
        <f>ROUND((H38*E39)/100,2)</f>
        <v>91.4</v>
      </c>
    </row>
    <row r="40">
      <c r="D40" t="inlineStr">
        <is>
          <t>SUBTOTAL C:</t>
        </is>
      </c>
      <c r="H40" s="8">
        <f>H38+H39</f>
        <v>1005.41</v>
      </c>
    </row>
    <row r="41">
      <c r="E41" s="14" t="n">
        <v>0</v>
      </c>
      <c r="F41" t="inlineStr">
        <is>
          <t>Financiamiento:</t>
        </is>
      </c>
      <c r="H41" s="11">
        <f>ROUND((H40*E41)/100,2)</f>
        <v>0</v>
      </c>
    </row>
    <row r="42">
      <c r="D42" t="inlineStr">
        <is>
          <t>PRECIO UNITARIO SIN IMPUESTO:</t>
        </is>
      </c>
      <c r="H42" s="8">
        <f>H40+H41</f>
        <v>1005.41</v>
      </c>
    </row>
    <row r="43">
      <c r="E43" s="14" t="n">
        <v>0</v>
      </c>
      <c r="F43" t="inlineStr">
        <is>
          <t>Impuesto (I.V.A.):</t>
        </is>
      </c>
      <c r="H43" s="11">
        <f>ROUND((H42*E43)/100,2)</f>
        <v>0</v>
      </c>
    </row>
    <row r="44">
      <c r="E44" s="14" t="n">
        <v>0</v>
      </c>
      <c r="F44" t="inlineStr">
        <is>
          <t>Otros Impuestos:</t>
        </is>
      </c>
      <c r="H44" s="11">
        <f>ROUND((H42*E44)/100,2)</f>
        <v>0</v>
      </c>
    </row>
    <row r="45"/>
    <row r="46">
      <c r="D46" t="inlineStr">
        <is>
          <t>PRECIO UNITARIO (USD):</t>
        </is>
      </c>
      <c r="H46" s="8">
        <f>H42+H43+H44</f>
        <v>1005.41</v>
      </c>
    </row>
  </sheetData>
  <mergeCells count="29">
    <mergeCell ref="D32:F32"/>
    <mergeCell ref="D33:G33"/>
    <mergeCell ref="D42:G42"/>
    <mergeCell ref="D38:G38"/>
    <mergeCell ref="B39:C46"/>
    <mergeCell ref="C20:D20"/>
    <mergeCell ref="C6:H7"/>
    <mergeCell ref="E36:G36"/>
    <mergeCell ref="C16:D16"/>
    <mergeCell ref="B4:H4"/>
    <mergeCell ref="D34:G34"/>
    <mergeCell ref="B3:H3"/>
    <mergeCell ref="F41:G41"/>
    <mergeCell ref="F35:G35"/>
    <mergeCell ref="D46:G46"/>
    <mergeCell ref="D40:G40"/>
    <mergeCell ref="C21:D21"/>
    <mergeCell ref="F22:G22"/>
    <mergeCell ref="F13:G13"/>
    <mergeCell ref="C17:D17"/>
    <mergeCell ref="F43:G43"/>
    <mergeCell ref="F39:G39"/>
    <mergeCell ref="B1:H1"/>
    <mergeCell ref="E23:G23"/>
    <mergeCell ref="D31:F31"/>
    <mergeCell ref="C19:D19"/>
    <mergeCell ref="C18:D18"/>
    <mergeCell ref="D37:G37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2026-10-21T17:34:08Z</dcterms:created>
  <dcterms:modified xmlns:dcterms="http://purl.org/dc/terms/" xmlns:xsi="http://www.w3.org/2001/XMLSchema-instance" xsi:type="dcterms:W3CDTF">2026-10-21T17:34:08Z</dcterms:modified>
</cp:coreProperties>
</file>