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.000000"/>
    <numFmt numFmtId="166" formatCode="#,##0.0000"/>
  </numFmts>
  <fonts count="13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1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sz val="18"/>
    </font>
    <font>
      <name val="Calibri"/>
      <b val="1"/>
      <sz val="11"/>
    </font>
    <font>
      <name val="Calibri"/>
      <b val="1"/>
      <sz val="9"/>
    </font>
    <font>
      <name val="Calibri"/>
      <sz val="7"/>
    </font>
    <font>
      <name val="Calibri"/>
      <sz val="11"/>
    </font>
    <font>
      <name val="Calibri"/>
      <b val="1"/>
      <sz val="7"/>
    </font>
    <font>
      <name val="Calibri"/>
      <b val="1"/>
      <sz val="6"/>
    </font>
    <font>
      <name val="Calibri"/>
      <b val="1"/>
      <sz val="8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/>
    <border>
      <left style="thin"/>
      <right style="thin"/>
      <top style="thin"/>
      <bottom style="thin"/>
    </border>
    <border>
      <right style="thin"/>
      <top style="thin"/>
    </border>
    <border>
      <right style="thin"/>
      <top style="thin"/>
      <bottom style="thin"/>
    </border>
    <border>
      <right style="thin"/>
    </border>
    <border>
      <left style="thin"/>
      <top style="thin"/>
      <bottom style="thin"/>
    </border>
    <border>
      <top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5" fillId="0" borderId="5" applyAlignment="1" pivotButton="0" quotePrefix="0" xfId="0">
      <alignment horizontal="center"/>
    </xf>
    <xf numFmtId="0" fontId="0" fillId="0" borderId="5" pivotButton="0" quotePrefix="0" xfId="0"/>
    <xf numFmtId="0" fontId="6" fillId="0" borderId="5" applyAlignment="1" pivotButton="0" quotePrefix="0" xfId="0">
      <alignment horizontal="center"/>
    </xf>
    <xf numFmtId="0" fontId="7" fillId="0" borderId="5" applyAlignment="1" pivotButton="0" quotePrefix="0" xfId="0">
      <alignment vertical="top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right" vertical="center"/>
    </xf>
    <xf numFmtId="0" fontId="8" fillId="0" borderId="5" applyAlignment="1" pivotButton="0" quotePrefix="0" xfId="0">
      <alignment horizontal="center" vertical="center"/>
    </xf>
    <xf numFmtId="14" fontId="8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vertical="top"/>
    </xf>
    <xf numFmtId="0" fontId="8" fillId="0" borderId="5" applyAlignment="1" pivotButton="0" quotePrefix="0" xfId="0">
      <alignment horizontal="justify" vertical="top" wrapText="1"/>
    </xf>
    <xf numFmtId="0" fontId="8" fillId="0" borderId="5" pivotButton="0" quotePrefix="0" xfId="0"/>
    <xf numFmtId="165" fontId="8" fillId="0" borderId="5" applyAlignment="1" pivotButton="0" quotePrefix="0" xfId="0">
      <alignment horizontal="center" vertical="center"/>
    </xf>
    <xf numFmtId="4" fontId="8" fillId="0" borderId="5" applyAlignment="1" pivotButton="0" quotePrefix="0" xfId="0">
      <alignment horizontal="center" vertical="center"/>
    </xf>
    <xf numFmtId="0" fontId="9" fillId="0" borderId="5" pivotButton="0" quotePrefix="0" xfId="0"/>
    <xf numFmtId="0" fontId="10" fillId="0" borderId="6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justify" vertical="center" wrapText="1"/>
    </xf>
    <xf numFmtId="0" fontId="8" fillId="0" borderId="6" applyAlignment="1" pivotButton="0" quotePrefix="0" xfId="0">
      <alignment vertical="center"/>
    </xf>
    <xf numFmtId="166" fontId="8" fillId="0" borderId="6" applyAlignment="1" pivotButton="0" quotePrefix="0" xfId="0">
      <alignment vertical="center"/>
    </xf>
    <xf numFmtId="4" fontId="8" fillId="0" borderId="6" applyAlignment="1" pivotButton="0" quotePrefix="0" xfId="0">
      <alignment vertical="center"/>
    </xf>
    <xf numFmtId="0" fontId="12" fillId="0" borderId="7" applyAlignment="1" pivotButton="0" quotePrefix="0" xfId="0">
      <alignment horizontal="right"/>
    </xf>
    <xf numFmtId="0" fontId="0" fillId="0" borderId="7" pivotButton="0" quotePrefix="0" xfId="0"/>
    <xf numFmtId="4" fontId="12" fillId="0" borderId="6" pivotButton="0" quotePrefix="0" xfId="0"/>
    <xf numFmtId="0" fontId="10" fillId="0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0" fillId="0" borderId="8" pivotButton="0" quotePrefix="0" xfId="0"/>
    <xf numFmtId="165" fontId="8" fillId="0" borderId="6" applyAlignment="1" pivotButton="0" quotePrefix="0" xfId="0">
      <alignment vertical="center"/>
    </xf>
    <xf numFmtId="0" fontId="12" fillId="0" borderId="9" applyAlignment="1" pivotButton="0" quotePrefix="0" xfId="0">
      <alignment horizontal="right"/>
    </xf>
    <xf numFmtId="0" fontId="0" fillId="0" borderId="9" pivotButton="0" quotePrefix="0" xfId="0"/>
    <xf numFmtId="0" fontId="10" fillId="0" borderId="10" applyAlignment="1" pivotButton="0" quotePrefix="0" xfId="0">
      <alignment horizontal="center" vertical="center"/>
    </xf>
    <xf numFmtId="0" fontId="8" fillId="0" borderId="10" applyAlignment="1" pivotButton="0" quotePrefix="0" xfId="0">
      <alignment horizontal="justify" vertical="center" wrapText="1"/>
    </xf>
    <xf numFmtId="4" fontId="8" fillId="0" borderId="6" applyAlignment="1" pivotButton="0" quotePrefix="0" xfId="0">
      <alignment horizontal="right" vertical="center" wrapText="1"/>
    </xf>
    <xf numFmtId="4" fontId="8" fillId="0" borderId="6" pivotButton="0" quotePrefix="0" xfId="0"/>
    <xf numFmtId="0" fontId="12" fillId="0" borderId="5" applyAlignment="1" pivotButton="0" quotePrefix="0" xfId="0">
      <alignment horizontal="right"/>
    </xf>
    <xf numFmtId="0" fontId="0" fillId="0" borderId="11" pivotButton="0" quotePrefix="0" xfId="0"/>
    <xf numFmtId="4" fontId="12" fillId="0" borderId="5" applyAlignment="1" pivotButton="0" quotePrefix="0" xfId="0">
      <alignment horizontal="right"/>
    </xf>
    <xf numFmtId="0" fontId="9" fillId="0" borderId="9" pivotButton="0" quotePrefix="0" xfId="0"/>
    <xf numFmtId="4" fontId="12" fillId="0" borderId="5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1" workbookViewId="0">
      <selection activeCell="A1" sqref="A1"/>
    </sheetView>
  </sheetViews>
  <sheetFormatPr baseColWidth="10" defaultRowHeight="14.4"/>
  <cols>
    <col hidden="1" min="1" max="1"/>
    <col width="8.21875" customWidth="1" min="2" max="2"/>
    <col width="30.77734375" customWidth="1" min="3" max="3"/>
    <col width="5.77734375" customWidth="1" min="4" max="4"/>
    <col width="7.21875" customWidth="1" min="5" max="5"/>
    <col width="6.33203125" customWidth="1" min="6" max="6"/>
    <col width="10.109375" customWidth="1" min="7" max="7"/>
    <col width="12.109375" customWidth="1" min="8" max="8"/>
  </cols>
  <sheetData>
    <row r="1" ht="23.4" customHeight="1">
      <c r="B1" s="1" t="inlineStr">
        <is>
          <t>ANALISIS DE PRECIO UNITARIO</t>
        </is>
      </c>
      <c r="C1" s="2" t="n"/>
      <c r="D1" s="2" t="n"/>
      <c r="E1" s="2" t="n"/>
      <c r="F1" s="2" t="n"/>
      <c r="G1" s="2" t="n"/>
      <c r="H1" s="2" t="n"/>
    </row>
    <row r="2" ht="23.4" customHeight="1">
      <c r="B2" s="1" t="n"/>
      <c r="C2" s="3" t="n"/>
      <c r="D2" s="3" t="n"/>
      <c r="E2" s="3" t="n"/>
      <c r="F2" s="3" t="n"/>
      <c r="G2" s="3" t="n"/>
      <c r="H2" s="3" t="n"/>
    </row>
    <row r="3">
      <c r="B3" s="4" t="inlineStr">
        <is>
          <t>Obra: REPARACIONES EN CARRETERA TRONCAL (EJEMPLO)</t>
        </is>
      </c>
      <c r="C3" s="2" t="n"/>
      <c r="D3" s="2" t="n"/>
      <c r="E3" s="2" t="n"/>
      <c r="F3" s="2" t="n"/>
      <c r="G3" s="2" t="n"/>
      <c r="H3" s="2" t="n"/>
    </row>
    <row r="4">
      <c r="B4" s="4" t="inlineStr">
        <is>
          <t>Contratante: GOBERNACION</t>
        </is>
      </c>
      <c r="C4" s="2" t="n"/>
      <c r="D4" s="2" t="n"/>
      <c r="E4" s="2" t="n"/>
      <c r="F4" s="2" t="n"/>
      <c r="G4" s="2" t="n"/>
      <c r="H4" s="2" t="n"/>
    </row>
    <row r="5">
      <c r="B5" s="5" t="n"/>
      <c r="C5" s="5" t="n"/>
      <c r="D5" s="5" t="n"/>
      <c r="E5" s="6" t="inlineStr">
        <is>
          <t>Part. No.:</t>
        </is>
      </c>
      <c r="F5" s="7" t="n">
        <v>1</v>
      </c>
      <c r="G5" s="6" t="inlineStr">
        <is>
          <t>Fecha:</t>
        </is>
      </c>
      <c r="H5" s="8" t="n">
        <v>46316.94059836933</v>
      </c>
    </row>
    <row r="6">
      <c r="B6" s="9" t="inlineStr">
        <is>
          <t>Descripción:</t>
        </is>
      </c>
      <c r="C6" s="10" t="inlineStr">
        <is>
          <t>SUMINISTRO, TRANSPORTE, PREPARACION Y COLOCACION DE ACERO DE REFUERZO, DE RAT = 2.100 kg/cm2, PARA EL CONCRETO ARMADO CORRESPONDIENTE A OBRAS DE DRENAJE</t>
        </is>
      </c>
      <c r="D6" s="2" t="n"/>
      <c r="E6" s="2" t="n"/>
      <c r="F6" s="2" t="n"/>
      <c r="G6" s="2" t="n"/>
      <c r="H6" s="2" t="n"/>
    </row>
    <row r="7">
      <c r="B7" s="11" t="n"/>
      <c r="C7" s="2" t="n"/>
      <c r="D7" s="2" t="n"/>
      <c r="E7" s="2" t="n"/>
      <c r="F7" s="2" t="n"/>
      <c r="G7" s="2" t="n"/>
      <c r="H7" s="2" t="n"/>
    </row>
    <row r="8">
      <c r="B8" s="5" t="n"/>
      <c r="C8" s="5" t="n"/>
      <c r="D8" s="5" t="n"/>
      <c r="E8" s="5" t="n"/>
      <c r="F8" s="5" t="n"/>
      <c r="G8" s="6" t="inlineStr">
        <is>
          <t>Rendimiento:</t>
        </is>
      </c>
      <c r="H8" s="12" t="n">
        <v>900</v>
      </c>
    </row>
    <row r="9">
      <c r="B9" s="5" t="inlineStr">
        <is>
          <t>Código:</t>
        </is>
      </c>
      <c r="C9" s="5" t="inlineStr">
        <is>
          <t>C.058721000</t>
        </is>
      </c>
      <c r="D9" s="5" t="n"/>
      <c r="E9" s="6" t="inlineStr">
        <is>
          <t>Unidad:</t>
        </is>
      </c>
      <c r="F9" s="7" t="inlineStr">
        <is>
          <t>kgf</t>
        </is>
      </c>
      <c r="G9" s="6" t="inlineStr">
        <is>
          <t>Cantidad:</t>
        </is>
      </c>
      <c r="H9" s="13" t="n">
        <v>198</v>
      </c>
    </row>
    <row r="10" ht="4.05" customHeight="1">
      <c r="B10" s="2" t="n"/>
      <c r="C10" s="2" t="n"/>
      <c r="D10" s="2" t="n"/>
      <c r="E10" s="2" t="n"/>
      <c r="F10" s="2" t="n"/>
      <c r="G10" s="2" t="n"/>
      <c r="H10" s="2" t="n"/>
    </row>
    <row r="11">
      <c r="B11" s="14" t="inlineStr">
        <is>
          <t>MATERIALES</t>
        </is>
      </c>
      <c r="C11" s="2" t="n"/>
      <c r="D11" s="2" t="n"/>
      <c r="E11" s="2" t="n"/>
      <c r="F11" s="2" t="n"/>
      <c r="G11" s="2" t="n"/>
      <c r="H11" s="2" t="n"/>
    </row>
    <row r="12">
      <c r="B12" s="15" t="inlineStr">
        <is>
          <t>No.</t>
        </is>
      </c>
      <c r="C12" s="15" t="inlineStr">
        <is>
          <t>Descripción</t>
        </is>
      </c>
      <c r="D12" s="15" t="inlineStr">
        <is>
          <t>Und.</t>
        </is>
      </c>
      <c r="E12" s="15" t="inlineStr">
        <is>
          <t>Cant.</t>
        </is>
      </c>
      <c r="F12" s="15" t="inlineStr">
        <is>
          <t>Desp.</t>
        </is>
      </c>
      <c r="G12" s="15" t="inlineStr">
        <is>
          <t>Precio</t>
        </is>
      </c>
      <c r="H12" s="15" t="inlineStr">
        <is>
          <t>Total</t>
        </is>
      </c>
    </row>
    <row r="13">
      <c r="A13" s="16" t="inlineStr">
        <is>
          <t>ACE022</t>
        </is>
      </c>
      <c r="B13" s="17" t="n">
        <v>1</v>
      </c>
      <c r="C13" s="18" t="inlineStr">
        <is>
          <t>CABILLA ESTRIADA D=3/8" A 1" fy=4200 Kgf/cm2</t>
        </is>
      </c>
      <c r="D13" s="19" t="inlineStr">
        <is>
          <t>kgf</t>
        </is>
      </c>
      <c r="E13" s="20" t="n">
        <v>0.2</v>
      </c>
      <c r="F13" s="21" t="n">
        <v>5</v>
      </c>
      <c r="G13" s="21" t="n">
        <v>39</v>
      </c>
      <c r="H13" s="21">
        <f>ROUND((G13*E13)*((F13/100)+1),2)</f>
        <v>8.19</v>
      </c>
    </row>
    <row r="14">
      <c r="A14" s="16" t="inlineStr">
        <is>
          <t>ACE028</t>
        </is>
      </c>
      <c r="B14" s="17" t="n">
        <v>2</v>
      </c>
      <c r="C14" s="18" t="inlineStr">
        <is>
          <t>CABILLA ESTRIADA D = &lt; 1/2 " fy=4200 Kgf/cm2</t>
        </is>
      </c>
      <c r="D14" s="19" t="inlineStr">
        <is>
          <t>kgf</t>
        </is>
      </c>
      <c r="E14" s="20" t="n">
        <v>0.2</v>
      </c>
      <c r="F14" s="21" t="n">
        <v>5</v>
      </c>
      <c r="G14" s="21" t="n">
        <v>39</v>
      </c>
      <c r="H14" s="21">
        <f>ROUND((G14*E14)*((F14/100)+1),2)</f>
        <v>8.19</v>
      </c>
    </row>
    <row r="15">
      <c r="A15" s="16" t="inlineStr">
        <is>
          <t>ACE498</t>
        </is>
      </c>
      <c r="B15" s="17" t="n">
        <v>3</v>
      </c>
      <c r="C15" s="18" t="inlineStr">
        <is>
          <t>CABILLA D=5/8" fy=4200 kgf/cm2 1.554 K/M</t>
        </is>
      </c>
      <c r="D15" s="19" t="inlineStr">
        <is>
          <t>kgf</t>
        </is>
      </c>
      <c r="E15" s="20" t="n">
        <v>0.2</v>
      </c>
      <c r="F15" s="21" t="n">
        <v>5</v>
      </c>
      <c r="G15" s="21" t="n">
        <v>38</v>
      </c>
      <c r="H15" s="21">
        <f>ROUND((G15*E15)*((F15/100)+1),2)</f>
        <v>7.98</v>
      </c>
    </row>
    <row r="16">
      <c r="A16" s="16" t="inlineStr">
        <is>
          <t>ACE772</t>
        </is>
      </c>
      <c r="B16" s="17" t="n">
        <v>4</v>
      </c>
      <c r="C16" s="18" t="inlineStr">
        <is>
          <t>CABILLA ESTRIADA N60 VARIOS DIAMETROS-MERCADO</t>
        </is>
      </c>
      <c r="D16" s="19" t="inlineStr">
        <is>
          <t>kgf</t>
        </is>
      </c>
      <c r="E16" s="20" t="n">
        <v>0.2</v>
      </c>
      <c r="F16" s="21" t="n">
        <v>5</v>
      </c>
      <c r="G16" s="21" t="n">
        <v>39</v>
      </c>
      <c r="H16" s="21">
        <f>ROUND((G16*E16)*((F16/100)+1),2)</f>
        <v>8.19</v>
      </c>
    </row>
    <row r="17">
      <c r="A17" s="16" t="inlineStr">
        <is>
          <t>ACE499</t>
        </is>
      </c>
      <c r="B17" s="17" t="n">
        <v>5</v>
      </c>
      <c r="C17" s="18" t="inlineStr">
        <is>
          <t>CABILLA D=7/8" fy=4200 kgf/cm2 3.997 K/M</t>
        </is>
      </c>
      <c r="D17" s="19" t="inlineStr">
        <is>
          <t>kgf</t>
        </is>
      </c>
      <c r="E17" s="20" t="n">
        <v>0.2</v>
      </c>
      <c r="F17" s="21" t="n">
        <v>5</v>
      </c>
      <c r="G17" s="21" t="n">
        <v>38</v>
      </c>
      <c r="H17" s="21">
        <f>ROUND((G17*E17)*((F17/100)+1),2)</f>
        <v>7.98</v>
      </c>
    </row>
    <row r="18">
      <c r="A18" s="16" t="inlineStr">
        <is>
          <t>ACE631</t>
        </is>
      </c>
      <c r="B18" s="17" t="n">
        <v>6</v>
      </c>
      <c r="C18" s="18" t="inlineStr">
        <is>
          <t>ALAMBRE LISO GALVANIZADO CALIBRE Nº 18</t>
        </is>
      </c>
      <c r="D18" s="19" t="inlineStr">
        <is>
          <t>kgf</t>
        </is>
      </c>
      <c r="E18" s="20" t="n">
        <v>0.02</v>
      </c>
      <c r="F18" s="21" t="n">
        <v>5</v>
      </c>
      <c r="G18" s="21" t="n">
        <v>72</v>
      </c>
      <c r="H18" s="21">
        <f>ROUND((G18*E18)*((F18/100)+1),2)</f>
        <v>1.51</v>
      </c>
    </row>
    <row r="19">
      <c r="A19" s="16" t="inlineStr">
        <is>
          <t>VAL103</t>
        </is>
      </c>
      <c r="B19" s="17" t="n">
        <v>7</v>
      </c>
      <c r="C19" s="18" t="inlineStr">
        <is>
          <t>COSTO AGREGADO DE TRANSPORTE</t>
        </is>
      </c>
      <c r="D19" s="19" t="inlineStr">
        <is>
          <t>kgf</t>
        </is>
      </c>
      <c r="E19" s="20" t="n">
        <v>1</v>
      </c>
      <c r="F19" s="21" t="n">
        <v>0</v>
      </c>
      <c r="G19" s="21" t="n">
        <v>3.63</v>
      </c>
      <c r="H19" s="21">
        <f>ROUND((G19*E19)*((F19/100)+1),2)</f>
        <v>3.63</v>
      </c>
    </row>
    <row r="20">
      <c r="B20" s="2" t="n"/>
      <c r="C20" s="2" t="n"/>
      <c r="D20" s="2" t="n"/>
      <c r="E20" s="2" t="n"/>
      <c r="F20" s="22" t="inlineStr">
        <is>
          <t>Total Materiales:</t>
        </is>
      </c>
      <c r="G20" s="23" t="n"/>
      <c r="H20" s="24">
        <f>SUM(H13:H19)</f>
        <v>45.67</v>
      </c>
    </row>
    <row r="21" hidden="1">
      <c r="B21" s="2" t="n"/>
      <c r="C21" s="2" t="n"/>
      <c r="D21" s="2" t="n"/>
      <c r="E21" s="2" t="n"/>
      <c r="F21" s="2" t="n"/>
      <c r="G21" s="2" t="n"/>
      <c r="H21" s="2" t="n"/>
    </row>
    <row r="22">
      <c r="B22" s="14" t="inlineStr">
        <is>
          <t>EQUIPOS</t>
        </is>
      </c>
      <c r="C22" s="2" t="n"/>
      <c r="D22" s="2" t="n"/>
      <c r="E22" s="2" t="n"/>
      <c r="F22" s="2" t="n"/>
      <c r="G22" s="2" t="n"/>
      <c r="H22" s="2" t="n"/>
    </row>
    <row r="23">
      <c r="B23" s="15" t="inlineStr">
        <is>
          <t>No.</t>
        </is>
      </c>
      <c r="C23" s="15" t="inlineStr">
        <is>
          <t>Descripción</t>
        </is>
      </c>
      <c r="D23" s="25" t="n"/>
      <c r="E23" s="15" t="inlineStr">
        <is>
          <t>Cant.</t>
        </is>
      </c>
      <c r="F23" s="26" t="inlineStr">
        <is>
          <t>Cop/Dep</t>
        </is>
      </c>
      <c r="G23" s="15" t="inlineStr">
        <is>
          <t>Precio</t>
        </is>
      </c>
      <c r="H23" s="15" t="inlineStr">
        <is>
          <t>Total</t>
        </is>
      </c>
    </row>
    <row r="24" ht="18.75" customHeight="1">
      <c r="A24" s="16" t="inlineStr">
        <is>
          <t>CON043</t>
        </is>
      </c>
      <c r="B24" s="17" t="n">
        <v>1</v>
      </c>
      <c r="C24" s="18" t="inlineStr">
        <is>
          <t>CORTADORA DE CABILLA HASTA D=1 3/8" AUTOMATICA</t>
        </is>
      </c>
      <c r="D24" s="27" t="n"/>
      <c r="E24" s="21" t="n">
        <v>1</v>
      </c>
      <c r="F24" s="28" t="n">
        <v>0.003</v>
      </c>
      <c r="G24" s="21" t="n">
        <v>301193</v>
      </c>
      <c r="H24" s="21">
        <f>ROUND((G24*E24)*(F24),2)</f>
        <v>903.58</v>
      </c>
    </row>
    <row r="25" ht="18.75" customHeight="1">
      <c r="A25" s="16" t="inlineStr">
        <is>
          <t>ALB120</t>
        </is>
      </c>
      <c r="B25" s="17" t="n">
        <v>2</v>
      </c>
      <c r="C25" s="18" t="inlineStr">
        <is>
          <t>DOBLADORA AUTOMATICA DE CABILLA HASTA 1 3/8"</t>
        </is>
      </c>
      <c r="D25" s="27" t="n"/>
      <c r="E25" s="21" t="n">
        <v>1</v>
      </c>
      <c r="F25" s="28" t="n">
        <v>0.002</v>
      </c>
      <c r="G25" s="21" t="n">
        <v>181500</v>
      </c>
      <c r="H25" s="21">
        <f>ROUND((G25*E25)*(F25),2)</f>
        <v>363</v>
      </c>
    </row>
    <row r="26" ht="18.75" customHeight="1">
      <c r="A26" s="16" t="inlineStr">
        <is>
          <t>HER015</t>
        </is>
      </c>
      <c r="B26" s="17" t="n">
        <v>3</v>
      </c>
      <c r="C26" s="18" t="inlineStr">
        <is>
          <t>EQUIPO MENOR PARA CABILLA Y MALLA SOLDADA</t>
        </is>
      </c>
      <c r="D26" s="27" t="n"/>
      <c r="E26" s="21" t="n">
        <v>1</v>
      </c>
      <c r="F26" s="28" t="n">
        <v>1</v>
      </c>
      <c r="G26" s="21" t="n">
        <v>177</v>
      </c>
      <c r="H26" s="21">
        <f>ROUND((G26*E26)*(F26),2)</f>
        <v>177</v>
      </c>
    </row>
    <row r="27" ht="18.75" customHeight="1">
      <c r="A27" s="16" t="inlineStr">
        <is>
          <t>COP075</t>
        </is>
      </c>
      <c r="B27" s="17" t="n">
        <v>4</v>
      </c>
      <c r="C27" s="18" t="inlineStr">
        <is>
          <t>CAMION FORD F- 350 ESTACAS</t>
        </is>
      </c>
      <c r="D27" s="27" t="n"/>
      <c r="E27" s="21" t="n">
        <v>0.25</v>
      </c>
      <c r="F27" s="28" t="n">
        <v>0.002462</v>
      </c>
      <c r="G27" s="21" t="n">
        <v>1136800</v>
      </c>
      <c r="H27" s="21">
        <f>ROUND((G27*E27)*(F27),2)</f>
        <v>699.7</v>
      </c>
    </row>
    <row r="28">
      <c r="B28" s="2" t="n"/>
      <c r="C28" s="2" t="n"/>
      <c r="D28" s="2" t="n"/>
      <c r="E28" s="2" t="n"/>
      <c r="F28" s="22" t="inlineStr">
        <is>
          <t>Total Equipos:</t>
        </is>
      </c>
      <c r="G28" s="23" t="n"/>
      <c r="H28" s="24">
        <f>SUM(H24:H27)</f>
        <v>2143.28</v>
      </c>
    </row>
    <row r="29">
      <c r="B29" s="2" t="n"/>
      <c r="C29" s="2" t="n"/>
      <c r="D29" s="2" t="n"/>
      <c r="E29" s="29" t="inlineStr">
        <is>
          <t>Costo Unitarios Equipos:</t>
        </is>
      </c>
      <c r="F29" s="2" t="n"/>
      <c r="G29" s="30" t="n"/>
      <c r="H29" s="24">
        <f>ROUND(H28/H8,2)</f>
        <v>2.38</v>
      </c>
    </row>
    <row r="30" hidden="1">
      <c r="B30" s="2" t="n"/>
      <c r="C30" s="2" t="n"/>
      <c r="D30" s="2" t="n"/>
      <c r="E30" s="2" t="n"/>
      <c r="F30" s="2" t="n"/>
      <c r="G30" s="2" t="n"/>
      <c r="H30" s="2" t="n"/>
    </row>
    <row r="31">
      <c r="B31" s="14" t="inlineStr">
        <is>
          <t>MANO DE OBRA</t>
        </is>
      </c>
      <c r="C31" s="2" t="n"/>
      <c r="D31" s="2" t="n"/>
      <c r="E31" s="2" t="n"/>
      <c r="F31" s="2" t="n"/>
      <c r="G31" s="2" t="n"/>
      <c r="H31" s="2" t="n"/>
    </row>
    <row r="32">
      <c r="B32" s="15" t="inlineStr">
        <is>
          <t>No.</t>
        </is>
      </c>
      <c r="C32" s="31" t="inlineStr">
        <is>
          <t>Descripción</t>
        </is>
      </c>
      <c r="D32" s="15" t="inlineStr">
        <is>
          <t>Cant.</t>
        </is>
      </c>
      <c r="E32" s="15" t="inlineStr">
        <is>
          <t>Jornal</t>
        </is>
      </c>
      <c r="F32" s="15" t="inlineStr">
        <is>
          <t>Bono</t>
        </is>
      </c>
      <c r="G32" s="15" t="inlineStr">
        <is>
          <t>Total Jornal</t>
        </is>
      </c>
      <c r="H32" s="15" t="inlineStr">
        <is>
          <t>Total Bono</t>
        </is>
      </c>
    </row>
    <row r="33">
      <c r="A33" s="16" t="inlineStr">
        <is>
          <t>24-210</t>
        </is>
      </c>
      <c r="B33" s="17" t="n">
        <v>1</v>
      </c>
      <c r="C33" s="32" t="inlineStr">
        <is>
          <t>MAESTRO CABILLERO</t>
        </is>
      </c>
      <c r="D33" s="33" t="n">
        <v>1</v>
      </c>
      <c r="E33" s="21" t="n">
        <v>243.47</v>
      </c>
      <c r="F33" s="21" t="n">
        <v>63.5</v>
      </c>
      <c r="G33" s="34">
        <f>ROUND((D33*E33),2)</f>
        <v>243.47</v>
      </c>
      <c r="H33" s="21">
        <f>ROUND((D33*F33),2)</f>
        <v>63.5</v>
      </c>
    </row>
    <row r="34">
      <c r="A34" s="16" t="inlineStr">
        <is>
          <t>19-2.9</t>
        </is>
      </c>
      <c r="B34" s="17" t="n">
        <v>2</v>
      </c>
      <c r="C34" s="32" t="inlineStr">
        <is>
          <t>CABILLERO DE 1RA</t>
        </is>
      </c>
      <c r="D34" s="33" t="n">
        <v>3</v>
      </c>
      <c r="E34" s="21" t="n">
        <v>220</v>
      </c>
      <c r="F34" s="21" t="n">
        <v>63.5</v>
      </c>
      <c r="G34" s="34">
        <f>ROUND((D34*E34),2)</f>
        <v>660</v>
      </c>
      <c r="H34" s="21">
        <f>ROUND((D34*F34),2)</f>
        <v>190.5</v>
      </c>
    </row>
    <row r="35">
      <c r="A35" s="16" t="inlineStr">
        <is>
          <t>11-2.8</t>
        </is>
      </c>
      <c r="B35" s="17" t="n">
        <v>3</v>
      </c>
      <c r="C35" s="32" t="inlineStr">
        <is>
          <t>CABILLERO DE 2DA</t>
        </is>
      </c>
      <c r="D35" s="33" t="n">
        <v>1</v>
      </c>
      <c r="E35" s="21" t="n">
        <v>196.69</v>
      </c>
      <c r="F35" s="21" t="n">
        <v>63.5</v>
      </c>
      <c r="G35" s="34">
        <f>ROUND((D35*E35),2)</f>
        <v>196.69</v>
      </c>
      <c r="H35" s="21">
        <f>ROUND((D35*F35),2)</f>
        <v>63.5</v>
      </c>
    </row>
    <row r="36">
      <c r="A36" s="16" t="inlineStr">
        <is>
          <t>1-1.2</t>
        </is>
      </c>
      <c r="B36" s="17" t="n">
        <v>4</v>
      </c>
      <c r="C36" s="32" t="inlineStr">
        <is>
          <t>AYUDANTE</t>
        </is>
      </c>
      <c r="D36" s="33" t="n">
        <v>4</v>
      </c>
      <c r="E36" s="21" t="n">
        <v>175.44</v>
      </c>
      <c r="F36" s="21" t="n">
        <v>63.5</v>
      </c>
      <c r="G36" s="34">
        <f>ROUND((D36*E36),2)</f>
        <v>701.76</v>
      </c>
      <c r="H36" s="21">
        <f>ROUND((D36*F36),2)</f>
        <v>254</v>
      </c>
    </row>
    <row r="37">
      <c r="A37" s="16" t="inlineStr">
        <is>
          <t>1-1.1</t>
        </is>
      </c>
      <c r="B37" s="17" t="n">
        <v>5</v>
      </c>
      <c r="C37" s="32" t="inlineStr">
        <is>
          <t>OBRERO DE 1RA</t>
        </is>
      </c>
      <c r="D37" s="33" t="n">
        <v>4</v>
      </c>
      <c r="E37" s="21" t="n">
        <v>163.85</v>
      </c>
      <c r="F37" s="21" t="n">
        <v>63.5</v>
      </c>
      <c r="G37" s="34">
        <f>ROUND((D37*E37),2)</f>
        <v>655.4</v>
      </c>
      <c r="H37" s="21">
        <f>ROUND((D37*F37),2)</f>
        <v>254</v>
      </c>
    </row>
    <row r="38">
      <c r="A38" s="16" t="inlineStr">
        <is>
          <t>13-3.6</t>
        </is>
      </c>
      <c r="B38" s="17" t="n">
        <v>6</v>
      </c>
      <c r="C38" s="32" t="inlineStr">
        <is>
          <t>CHOFER DE 1RA ( DE 8 A 15 TON)</t>
        </is>
      </c>
      <c r="D38" s="33" t="n">
        <v>0.25</v>
      </c>
      <c r="E38" s="21" t="n">
        <v>199.3</v>
      </c>
      <c r="F38" s="21" t="n">
        <v>63.5</v>
      </c>
      <c r="G38" s="34">
        <f>ROUND((D38*E38),2)</f>
        <v>49.83</v>
      </c>
      <c r="H38" s="21">
        <f>ROUND((D38*F38),2)</f>
        <v>15.88</v>
      </c>
    </row>
    <row r="39">
      <c r="B39" s="2" t="n"/>
      <c r="C39" s="35" t="n"/>
      <c r="D39" s="22" t="inlineStr">
        <is>
          <t>SubTotal Mano de Obra:</t>
        </is>
      </c>
      <c r="E39" s="36" t="n"/>
      <c r="F39" s="23" t="n"/>
      <c r="G39" s="24">
        <f>SUM(G33:G38)</f>
        <v>2507.15</v>
      </c>
      <c r="H39" s="24">
        <f>SUM(H33:H38)</f>
        <v>841.38</v>
      </c>
    </row>
    <row r="40">
      <c r="B40" s="2" t="n"/>
      <c r="C40" s="37" t="n">
        <v>435</v>
      </c>
      <c r="D40" s="35" t="inlineStr">
        <is>
          <t>Prestaciones Sociales:</t>
        </is>
      </c>
      <c r="E40" s="2" t="n"/>
      <c r="F40" s="2" t="n"/>
      <c r="G40" s="24">
        <f>ROUND((C40/100)*G39,2)</f>
        <v>10906.1</v>
      </c>
      <c r="H40" s="24" t="n">
        <v>0</v>
      </c>
    </row>
    <row r="41">
      <c r="B41" s="2" t="n"/>
      <c r="C41" s="2" t="n"/>
      <c r="D41" s="29" t="inlineStr">
        <is>
          <t>Total General Mano de Obra:</t>
        </is>
      </c>
      <c r="E41" s="2" t="n"/>
      <c r="F41" s="2" t="n"/>
      <c r="G41" s="30" t="n"/>
      <c r="H41" s="24">
        <f>G40+H40+G39+H39</f>
        <v>14254.63</v>
      </c>
    </row>
    <row r="42">
      <c r="B42" s="2" t="n"/>
      <c r="C42" s="2" t="n"/>
      <c r="D42" s="29" t="inlineStr">
        <is>
          <t>Costo Unitario de Mano de Obra:</t>
        </is>
      </c>
      <c r="E42" s="2" t="n"/>
      <c r="F42" s="2" t="n"/>
      <c r="G42" s="30" t="n"/>
      <c r="H42" s="24">
        <f>ROUND(H41/H8,2)</f>
        <v>15.84</v>
      </c>
    </row>
    <row r="43">
      <c r="B43" s="2" t="n"/>
      <c r="C43" s="2" t="n"/>
      <c r="D43" s="2" t="n"/>
      <c r="E43" s="37" t="n">
        <v>0</v>
      </c>
      <c r="F43" s="38" t="inlineStr">
        <is>
          <t>Otros Impuestos:</t>
        </is>
      </c>
      <c r="G43" s="30" t="n"/>
      <c r="H43" s="24">
        <f>ROUND((H41*E43)/100,2)</f>
        <v>0</v>
      </c>
    </row>
    <row r="44">
      <c r="B44" s="2" t="n"/>
      <c r="C44" s="2" t="n"/>
      <c r="D44" s="2" t="n"/>
      <c r="E44" s="29" t="inlineStr">
        <is>
          <t>COSTO DIRECTO SUBTOTAL A:</t>
        </is>
      </c>
      <c r="F44" s="2" t="n"/>
      <c r="G44" s="30" t="n"/>
      <c r="H44" s="24">
        <f>ROUND(H20+H29+H42,2)</f>
        <v>63.89</v>
      </c>
    </row>
    <row r="45">
      <c r="B45" s="2" t="n"/>
      <c r="C45" s="37" t="n">
        <v>16</v>
      </c>
      <c r="D45" s="38" t="inlineStr">
        <is>
          <t>Administración y Gastos Generales:</t>
        </is>
      </c>
      <c r="E45" s="2" t="n"/>
      <c r="F45" s="2" t="n"/>
      <c r="G45" s="30" t="n"/>
      <c r="H45" s="24">
        <f>ROUND((H44*C45)/100,2)</f>
        <v>10.22</v>
      </c>
    </row>
    <row r="46">
      <c r="B46" s="2" t="n"/>
      <c r="C46" s="2" t="n"/>
      <c r="D46" s="29" t="inlineStr">
        <is>
          <t>SUBTOTAL B:</t>
        </is>
      </c>
      <c r="E46" s="2" t="n"/>
      <c r="F46" s="2" t="n"/>
      <c r="G46" s="30" t="n"/>
      <c r="H46" s="24">
        <f>H44+H45</f>
        <v>74.11</v>
      </c>
    </row>
    <row r="47">
      <c r="B47" s="39" t="inlineStr">
        <is>
          <t>SON: ( OCHENTA Y UN Bs. con 52/100 ctms)</t>
        </is>
      </c>
      <c r="C47" s="2" t="n"/>
      <c r="D47" s="2" t="n"/>
      <c r="E47" s="37" t="n">
        <v>10</v>
      </c>
      <c r="F47" s="38" t="inlineStr">
        <is>
          <t>Imprevisto Utilidad:</t>
        </is>
      </c>
      <c r="G47" s="30" t="n"/>
      <c r="H47" s="24">
        <f>ROUND((H46*E47)/100,2)</f>
        <v>7.41</v>
      </c>
    </row>
    <row r="48">
      <c r="B48" s="2" t="n"/>
      <c r="C48" s="2" t="n"/>
      <c r="D48" s="29" t="inlineStr">
        <is>
          <t>SUBTOTAL C:</t>
        </is>
      </c>
      <c r="E48" s="2" t="n"/>
      <c r="F48" s="2" t="n"/>
      <c r="G48" s="30" t="n"/>
      <c r="H48" s="24">
        <f>H46+H47</f>
        <v>81.52</v>
      </c>
    </row>
    <row r="49">
      <c r="B49" s="2" t="n"/>
      <c r="C49" s="2" t="n"/>
      <c r="D49" s="2" t="n"/>
      <c r="E49" s="37" t="n">
        <v>0</v>
      </c>
      <c r="F49" s="38" t="inlineStr">
        <is>
          <t>Financiamiento:</t>
        </is>
      </c>
      <c r="G49" s="30" t="n"/>
      <c r="H49" s="24">
        <f>ROUND((H48*E49)/100,2)</f>
        <v>0</v>
      </c>
    </row>
    <row r="50">
      <c r="B50" s="2" t="n"/>
      <c r="C50" s="2" t="n"/>
      <c r="D50" s="38" t="inlineStr">
        <is>
          <t>PRECIO UNITARIO SIN IMPUESTO:</t>
        </is>
      </c>
      <c r="E50" s="2" t="n"/>
      <c r="F50" s="2" t="n"/>
      <c r="G50" s="30" t="n"/>
      <c r="H50" s="24">
        <f>H48+H49</f>
        <v>81.52</v>
      </c>
    </row>
    <row r="51">
      <c r="B51" s="2" t="n"/>
      <c r="C51" s="2" t="n"/>
      <c r="D51" s="2" t="n"/>
      <c r="E51" s="37" t="n">
        <v>0</v>
      </c>
      <c r="F51" s="38" t="inlineStr">
        <is>
          <t>Impuesto (I.V.A.):</t>
        </is>
      </c>
      <c r="G51" s="30" t="n"/>
      <c r="H51" s="24">
        <f>ROUND((H50*E51)/100,2)</f>
        <v>0</v>
      </c>
    </row>
    <row r="52">
      <c r="B52" s="2" t="n"/>
      <c r="C52" s="2" t="n"/>
      <c r="D52" s="2" t="n"/>
      <c r="E52" s="37" t="n">
        <v>0</v>
      </c>
      <c r="F52" s="38" t="inlineStr">
        <is>
          <t>Otros Impuestos:</t>
        </is>
      </c>
      <c r="G52" s="30" t="n"/>
      <c r="H52" s="24">
        <f>ROUND((H50*E52)/100,2)</f>
        <v>0</v>
      </c>
    </row>
    <row r="53" ht="4.05" customHeight="1">
      <c r="B53" s="2" t="n"/>
      <c r="C53" s="2" t="n"/>
      <c r="D53" s="2" t="n"/>
      <c r="E53" s="2" t="n"/>
      <c r="F53" s="2" t="n"/>
      <c r="G53" s="2" t="n"/>
      <c r="H53" s="2" t="n"/>
    </row>
    <row r="54">
      <c r="B54" s="2" t="n"/>
      <c r="C54" s="2" t="n"/>
      <c r="D54" s="38" t="inlineStr">
        <is>
          <t>PRECIO UNITARIO (Bs.F.):</t>
        </is>
      </c>
      <c r="E54" s="2" t="n"/>
      <c r="F54" s="2" t="n"/>
      <c r="G54" s="30" t="n"/>
      <c r="H54" s="24">
        <f>H50+H51+H52</f>
        <v>81.52</v>
      </c>
    </row>
  </sheetData>
  <mergeCells count="28">
    <mergeCell ref="C24:D24"/>
    <mergeCell ref="D42:G42"/>
    <mergeCell ref="C26:D26"/>
    <mergeCell ref="D54:G54"/>
    <mergeCell ref="C6:H7"/>
    <mergeCell ref="D50:G50"/>
    <mergeCell ref="B4:H4"/>
    <mergeCell ref="C25:D25"/>
    <mergeCell ref="F51:G51"/>
    <mergeCell ref="F20:G20"/>
    <mergeCell ref="D39:F39"/>
    <mergeCell ref="B3:H3"/>
    <mergeCell ref="D46:G46"/>
    <mergeCell ref="F47:G47"/>
    <mergeCell ref="D45:G45"/>
    <mergeCell ref="C27:D27"/>
    <mergeCell ref="F28:G28"/>
    <mergeCell ref="C23:D23"/>
    <mergeCell ref="F52:G52"/>
    <mergeCell ref="F43:G43"/>
    <mergeCell ref="D41:G41"/>
    <mergeCell ref="D48:G48"/>
    <mergeCell ref="B47:C54"/>
    <mergeCell ref="B1:H1"/>
    <mergeCell ref="D40:F40"/>
    <mergeCell ref="F49:G49"/>
    <mergeCell ref="E44:G44"/>
    <mergeCell ref="E29:G29"/>
  </mergeCells>
  <pageMargins left="0.75" right="0.75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2026-10-22T02:34:27Z</dcterms:created>
  <dcterms:modified xmlns:dcterms="http://purl.org/dc/terms/" xmlns:xsi="http://www.w3.org/2001/XMLSchema-instance" xsi:type="dcterms:W3CDTF">2026-10-22T02:34:27Z</dcterms:modified>
</cp:coreProperties>
</file>