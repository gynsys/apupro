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46316.55866996512</v>
      </c>
    </row>
    <row r="6">
      <c r="B6" t="inlineStr">
        <is>
          <t>Descripción:</t>
        </is>
      </c>
      <c r="C6" s="3" t="inlineStr">
        <is>
          <t>PRUEBA</t>
        </is>
      </c>
    </row>
    <row r="7"/>
    <row r="8">
      <c r="G8" t="inlineStr">
        <is>
          <t>Rendimiento:</t>
        </is>
      </c>
      <c r="H8" s="4" t="n">
        <v>100</v>
      </c>
    </row>
    <row r="9">
      <c r="B9" t="inlineStr">
        <is>
          <t>Código:</t>
        </is>
      </c>
      <c r="C9" t="inlineStr">
        <is>
          <t>C.058721000</t>
        </is>
      </c>
      <c r="E9" t="inlineStr">
        <is>
          <t>Unidad:</t>
        </is>
      </c>
      <c r="F9" t="inlineStr">
        <is>
          <t>kgf</t>
        </is>
      </c>
      <c r="G9" t="inlineStr">
        <is>
          <t>Cantidad:</t>
        </is>
      </c>
      <c r="H9" s="4" t="n">
        <v>1</v>
      </c>
    </row>
    <row r="10"/>
    <row r="11">
      <c r="B11" s="5" t="inlineStr">
        <is>
          <t>MATERIALES</t>
        </is>
      </c>
    </row>
    <row r="12">
      <c r="B12" s="6" t="inlineStr">
        <is>
          <t>No.</t>
        </is>
      </c>
      <c r="C12" s="6" t="inlineStr">
        <is>
          <t>Descripción</t>
        </is>
      </c>
      <c r="D12" s="6" t="inlineStr">
        <is>
          <t>Und.</t>
        </is>
      </c>
      <c r="E12" s="6" t="inlineStr">
        <is>
          <t>Cant.</t>
        </is>
      </c>
      <c r="F12" s="6" t="inlineStr">
        <is>
          <t>Desp.</t>
        </is>
      </c>
      <c r="G12" s="6" t="inlineStr">
        <is>
          <t>Precio</t>
        </is>
      </c>
      <c r="H12" s="7" t="inlineStr">
        <is>
          <t>Total</t>
        </is>
      </c>
    </row>
    <row r="13">
      <c r="A13" s="8" t="inlineStr">
        <is>
          <t>MAT-001</t>
        </is>
      </c>
      <c r="B13" t="n">
        <v>1</v>
      </c>
      <c r="C13" t="inlineStr">
        <is>
          <t>CEMENTO</t>
        </is>
      </c>
      <c r="D13" t="inlineStr">
        <is>
          <t>saco</t>
        </is>
      </c>
      <c r="E13" t="n">
        <v>2</v>
      </c>
      <c r="F13" t="n">
        <v>5</v>
      </c>
      <c r="G13" t="n">
        <v>10</v>
      </c>
      <c r="H13" s="9">
        <f>ROUND((G13*E13)*((F13/100)+1),2)</f>
        <v>21</v>
      </c>
    </row>
    <row r="14">
      <c r="F14" t="inlineStr">
        <is>
          <t>Total Materiales:</t>
        </is>
      </c>
      <c r="H14" s="10">
        <f>SUM(H13:H13)</f>
        <v>21</v>
      </c>
    </row>
    <row r="15" hidden="1"/>
    <row r="16">
      <c r="B16" s="5" t="inlineStr">
        <is>
          <t>EQUIPOS</t>
        </is>
      </c>
    </row>
    <row r="17">
      <c r="B17" s="6" t="inlineStr">
        <is>
          <t>No.</t>
        </is>
      </c>
      <c r="C17" s="6" t="inlineStr">
        <is>
          <t>Descripción</t>
        </is>
      </c>
      <c r="D17" s="11" t="n"/>
      <c r="E17" s="6" t="inlineStr">
        <is>
          <t>Cant.</t>
        </is>
      </c>
      <c r="F17" s="6" t="inlineStr">
        <is>
          <t>Cop/Dep</t>
        </is>
      </c>
      <c r="G17" s="6" t="inlineStr">
        <is>
          <t>Precio</t>
        </is>
      </c>
      <c r="H17" s="7" t="inlineStr">
        <is>
          <t>Total</t>
        </is>
      </c>
    </row>
    <row r="18">
      <c r="A18" s="8" t="inlineStr">
        <is>
          <t>EQU-001</t>
        </is>
      </c>
      <c r="B18" t="n">
        <v>1</v>
      </c>
      <c r="C18" t="inlineStr">
        <is>
          <t>MEZCLADORA</t>
        </is>
      </c>
      <c r="E18" t="n">
        <v>1</v>
      </c>
      <c r="F18" t="n">
        <v>1</v>
      </c>
      <c r="G18" t="n">
        <v>20</v>
      </c>
      <c r="H18" s="9">
        <f>ROUND((G18*E18)*(F18),2)</f>
        <v>20</v>
      </c>
    </row>
    <row r="19">
      <c r="F19" t="inlineStr">
        <is>
          <t>Total Equipos:</t>
        </is>
      </c>
      <c r="H19" s="10">
        <f>SUM(H18:H18)</f>
        <v>20</v>
      </c>
    </row>
    <row r="20">
      <c r="E20" t="inlineStr">
        <is>
          <t>Costo Unitarios Equipos:</t>
        </is>
      </c>
      <c r="H20" s="10">
        <f>ROUND(H19/H8,2)</f>
        <v>0.2</v>
      </c>
    </row>
    <row r="21" hidden="1"/>
    <row r="22">
      <c r="B22" s="5" t="inlineStr">
        <is>
          <t>MANO DE OBRA</t>
        </is>
      </c>
    </row>
    <row r="23">
      <c r="B23" s="6" t="inlineStr">
        <is>
          <t>No.</t>
        </is>
      </c>
      <c r="C23" s="6" t="inlineStr">
        <is>
          <t>Descripción</t>
        </is>
      </c>
      <c r="D23" s="6" t="inlineStr">
        <is>
          <t>Cant.</t>
        </is>
      </c>
      <c r="E23" s="6" t="inlineStr">
        <is>
          <t>Jornal</t>
        </is>
      </c>
      <c r="F23" s="6" t="inlineStr">
        <is>
          <t>Bono</t>
        </is>
      </c>
      <c r="G23" s="6" t="inlineStr">
        <is>
          <t>Total Jornal</t>
        </is>
      </c>
      <c r="H23" s="7" t="inlineStr">
        <is>
          <t>Total Bono</t>
        </is>
      </c>
    </row>
    <row r="24">
      <c r="A24" s="8" t="inlineStr">
        <is>
          <t>MO-001</t>
        </is>
      </c>
      <c r="B24" t="n">
        <v>1</v>
      </c>
      <c r="C24" t="inlineStr">
        <is>
          <t>MAESTRO</t>
        </is>
      </c>
      <c r="D24" s="12" t="n">
        <v>1</v>
      </c>
      <c r="E24" s="12" t="n">
        <v>30</v>
      </c>
      <c r="F24" s="12" t="n">
        <v>0</v>
      </c>
      <c r="G24" s="12">
        <f>ROUND((D24*E24),2)</f>
        <v>30</v>
      </c>
      <c r="H24" s="9">
        <f>ROUND((D24*F24),2)</f>
        <v>0</v>
      </c>
    </row>
    <row r="25">
      <c r="D25" t="inlineStr">
        <is>
          <t>SubTotal Mano de Obra:</t>
        </is>
      </c>
      <c r="G25" s="13">
        <f>SUM(G24:G24)</f>
        <v>30</v>
      </c>
      <c r="H25" s="10">
        <f>SUM(H24:H24)</f>
        <v>0</v>
      </c>
    </row>
    <row r="26">
      <c r="C26" s="14" t="n">
        <v>435</v>
      </c>
      <c r="D26" t="inlineStr">
        <is>
          <t>Prestaciones Sociales:</t>
        </is>
      </c>
      <c r="G26" s="12">
        <f>ROUND((C26/100)*G25,2)</f>
        <v>130.5</v>
      </c>
      <c r="H26" s="4" t="n">
        <v>0</v>
      </c>
    </row>
    <row r="27">
      <c r="D27" t="inlineStr">
        <is>
          <t>Total General Mano de Obra:</t>
        </is>
      </c>
      <c r="H27" s="10">
        <f>G26+H26+G25+H25</f>
        <v>160.5</v>
      </c>
    </row>
    <row r="28">
      <c r="D28" t="inlineStr">
        <is>
          <t>Costo Unitario de Mano de Obra:</t>
        </is>
      </c>
      <c r="H28" s="10">
        <f>ROUND(H27/H8,2)</f>
        <v>1.61</v>
      </c>
    </row>
    <row r="29">
      <c r="E29" s="14" t="n">
        <v>0</v>
      </c>
      <c r="H29" s="9">
        <f>ROUND((H27*E29)/100,2)</f>
        <v>0</v>
      </c>
    </row>
    <row r="30">
      <c r="E30" t="inlineStr">
        <is>
          <t>COSTO DIRECTO SUBTOTAL A:</t>
        </is>
      </c>
      <c r="H30" s="10">
        <f>ROUND(H14+H20+H28,2)</f>
        <v>22.81</v>
      </c>
    </row>
    <row r="31">
      <c r="C31" s="14" t="n">
        <v>16</v>
      </c>
      <c r="D31" t="inlineStr">
        <is>
          <t>Administración y Gastos Generales:</t>
        </is>
      </c>
      <c r="H31" s="9">
        <f>ROUND((H30*C31)/100,2)</f>
        <v>3.65</v>
      </c>
    </row>
    <row r="32">
      <c r="D32" t="inlineStr">
        <is>
          <t>SUBTOTAL B:</t>
        </is>
      </c>
      <c r="H32" s="10">
        <f>H30+H31</f>
        <v>26.46</v>
      </c>
    </row>
    <row r="33">
      <c r="B33" s="15" t="inlineStr">
        <is>
          <t>SON: ( VEINTINUEVE CON 10/100 Bs. ctms )</t>
        </is>
      </c>
      <c r="E33" s="14" t="n">
        <v>10</v>
      </c>
      <c r="F33" t="inlineStr">
        <is>
          <t>Imprevisto Utilidad:</t>
        </is>
      </c>
      <c r="H33" s="9">
        <f>ROUND((H32*E33)/100,2)</f>
        <v>2.65</v>
      </c>
    </row>
    <row r="34">
      <c r="D34" t="inlineStr">
        <is>
          <t>SUBTOTAL C:</t>
        </is>
      </c>
      <c r="H34" s="10">
        <f>H32+H33</f>
        <v>29.11</v>
      </c>
    </row>
    <row r="35">
      <c r="E35" s="14" t="n">
        <v>0</v>
      </c>
      <c r="F35" t="inlineStr">
        <is>
          <t>Financiamiento:</t>
        </is>
      </c>
      <c r="H35" s="9">
        <f>ROUND((H34*E35)/100,2)</f>
        <v>0</v>
      </c>
    </row>
    <row r="36">
      <c r="D36" t="inlineStr">
        <is>
          <t>PRECIO UNITARIO SIN IMPUESTO:</t>
        </is>
      </c>
      <c r="H36" s="10">
        <f>H34+H35</f>
        <v>29.11</v>
      </c>
    </row>
    <row r="37">
      <c r="E37" s="14" t="n">
        <v>0</v>
      </c>
      <c r="F37" t="inlineStr">
        <is>
          <t>Impuesto (I.V.A.):</t>
        </is>
      </c>
      <c r="H37" s="9">
        <f>ROUND((H36*E37)/100,2)</f>
        <v>0</v>
      </c>
    </row>
    <row r="38">
      <c r="E38" s="14" t="n">
        <v>0</v>
      </c>
      <c r="F38" t="inlineStr">
        <is>
          <t>Otros Impuestos:</t>
        </is>
      </c>
      <c r="H38" s="9">
        <f>ROUND((H36*E38)/100,2)</f>
        <v>0</v>
      </c>
    </row>
    <row r="39"/>
    <row r="40">
      <c r="D40" t="inlineStr">
        <is>
          <t>PRECIO UNITARIO (Bs.):</t>
        </is>
      </c>
      <c r="H40" s="10">
        <f>H36+H37+H38</f>
        <v>29.11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25">
    <mergeCell ref="D42:G42"/>
    <mergeCell ref="C18:D18"/>
    <mergeCell ref="D54:G54"/>
    <mergeCell ref="C6:H7"/>
    <mergeCell ref="D50:G50"/>
    <mergeCell ref="B4:H4"/>
    <mergeCell ref="F51:G51"/>
    <mergeCell ref="F20:G20"/>
    <mergeCell ref="D39:F39"/>
    <mergeCell ref="B3:H3"/>
    <mergeCell ref="D46:G46"/>
    <mergeCell ref="F47:G47"/>
    <mergeCell ref="D45:G45"/>
    <mergeCell ref="B33:C40"/>
    <mergeCell ref="F28:G28"/>
    <mergeCell ref="C17:D17"/>
    <mergeCell ref="F52:G52"/>
    <mergeCell ref="F43:G43"/>
    <mergeCell ref="D41:G41"/>
    <mergeCell ref="D48:G48"/>
    <mergeCell ref="B1:H1"/>
    <mergeCell ref="D40:F40"/>
    <mergeCell ref="F49:G49"/>
    <mergeCell ref="E44:G44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2</v>
      </c>
      <c r="G5" t="inlineStr">
        <is>
          <t>Fecha:</t>
        </is>
      </c>
      <c r="H5" s="2" t="n">
        <v>46316.55867015103</v>
      </c>
    </row>
    <row r="6">
      <c r="B6" t="inlineStr">
        <is>
          <t>Descripción:</t>
        </is>
      </c>
      <c r="C6" s="3" t="inlineStr">
        <is>
          <t>PRUEBA</t>
        </is>
      </c>
    </row>
    <row r="7"/>
    <row r="8">
      <c r="G8" t="inlineStr">
        <is>
          <t>Rendimiento:</t>
        </is>
      </c>
      <c r="H8" s="4" t="n">
        <v>100</v>
      </c>
    </row>
    <row r="9">
      <c r="B9" t="inlineStr">
        <is>
          <t>Código:</t>
        </is>
      </c>
      <c r="C9" t="inlineStr">
        <is>
          <t>C.058721000</t>
        </is>
      </c>
      <c r="E9" t="inlineStr">
        <is>
          <t>Unidad:</t>
        </is>
      </c>
      <c r="F9" t="inlineStr">
        <is>
          <t>kgf</t>
        </is>
      </c>
      <c r="G9" t="inlineStr">
        <is>
          <t>Cantidad:</t>
        </is>
      </c>
      <c r="H9" s="4" t="n">
        <v>1</v>
      </c>
    </row>
    <row r="10"/>
    <row r="11">
      <c r="B11" s="5" t="inlineStr">
        <is>
          <t>MATERIALES</t>
        </is>
      </c>
    </row>
    <row r="12">
      <c r="B12" s="6" t="inlineStr">
        <is>
          <t>No.</t>
        </is>
      </c>
      <c r="C12" s="6" t="inlineStr">
        <is>
          <t>Descripción</t>
        </is>
      </c>
      <c r="D12" s="6" t="inlineStr">
        <is>
          <t>Und.</t>
        </is>
      </c>
      <c r="E12" s="6" t="inlineStr">
        <is>
          <t>Cant.</t>
        </is>
      </c>
      <c r="F12" s="6" t="inlineStr">
        <is>
          <t>Desp.</t>
        </is>
      </c>
      <c r="G12" s="6" t="inlineStr">
        <is>
          <t>Precio</t>
        </is>
      </c>
      <c r="H12" s="7" t="inlineStr">
        <is>
          <t>Total</t>
        </is>
      </c>
    </row>
    <row r="13">
      <c r="A13" s="8" t="inlineStr">
        <is>
          <t>MAT-001</t>
        </is>
      </c>
      <c r="B13" t="n">
        <v>1</v>
      </c>
      <c r="C13" t="inlineStr">
        <is>
          <t>CEMENTO</t>
        </is>
      </c>
      <c r="D13" t="inlineStr">
        <is>
          <t>saco</t>
        </is>
      </c>
      <c r="E13" t="n">
        <v>2</v>
      </c>
      <c r="F13" t="n">
        <v>5</v>
      </c>
      <c r="G13" t="n">
        <v>10</v>
      </c>
      <c r="H13" s="9">
        <f>ROUND((G13*E13)*((F13/100)+1),2)</f>
        <v>21</v>
      </c>
    </row>
    <row r="14">
      <c r="F14" t="inlineStr">
        <is>
          <t>Total Materiales:</t>
        </is>
      </c>
      <c r="H14" s="10">
        <f>SUM(H13:H13)</f>
        <v>21</v>
      </c>
    </row>
    <row r="15" hidden="1"/>
    <row r="16">
      <c r="B16" s="5" t="inlineStr">
        <is>
          <t>EQUIPOS</t>
        </is>
      </c>
    </row>
    <row r="17">
      <c r="B17" s="6" t="inlineStr">
        <is>
          <t>No.</t>
        </is>
      </c>
      <c r="C17" s="6" t="inlineStr">
        <is>
          <t>Descripción</t>
        </is>
      </c>
      <c r="D17" s="11" t="n"/>
      <c r="E17" s="6" t="inlineStr">
        <is>
          <t>Cant.</t>
        </is>
      </c>
      <c r="F17" s="6" t="inlineStr">
        <is>
          <t>Cop/Dep</t>
        </is>
      </c>
      <c r="G17" s="6" t="inlineStr">
        <is>
          <t>Precio</t>
        </is>
      </c>
      <c r="H17" s="7" t="inlineStr">
        <is>
          <t>Total</t>
        </is>
      </c>
    </row>
    <row r="18">
      <c r="A18" s="8" t="inlineStr">
        <is>
          <t>EQU-001</t>
        </is>
      </c>
      <c r="B18" t="n">
        <v>1</v>
      </c>
      <c r="C18" t="inlineStr">
        <is>
          <t>MEZCLADORA</t>
        </is>
      </c>
      <c r="E18" t="n">
        <v>1</v>
      </c>
      <c r="F18" t="n">
        <v>1</v>
      </c>
      <c r="G18" t="n">
        <v>20</v>
      </c>
      <c r="H18" s="9">
        <f>ROUND((G18*E18)*(F18),2)</f>
        <v>20</v>
      </c>
    </row>
    <row r="19">
      <c r="F19" t="inlineStr">
        <is>
          <t>Total Equipos:</t>
        </is>
      </c>
      <c r="H19" s="10">
        <f>SUM(H18:H18)</f>
        <v>20</v>
      </c>
    </row>
    <row r="20">
      <c r="E20" t="inlineStr">
        <is>
          <t>Costo Unitarios Equipos:</t>
        </is>
      </c>
      <c r="H20" s="10">
        <f>ROUND(H19/H8,2)</f>
        <v>0.2</v>
      </c>
    </row>
    <row r="21" hidden="1"/>
    <row r="22">
      <c r="B22" s="5" t="inlineStr">
        <is>
          <t>MANO DE OBRA</t>
        </is>
      </c>
    </row>
    <row r="23">
      <c r="B23" s="6" t="inlineStr">
        <is>
          <t>No.</t>
        </is>
      </c>
      <c r="C23" s="6" t="inlineStr">
        <is>
          <t>Descripción</t>
        </is>
      </c>
      <c r="D23" s="6" t="inlineStr">
        <is>
          <t>Cant.</t>
        </is>
      </c>
      <c r="E23" s="6" t="inlineStr">
        <is>
          <t>Jornal</t>
        </is>
      </c>
      <c r="F23" s="6" t="inlineStr">
        <is>
          <t>Bono</t>
        </is>
      </c>
      <c r="G23" s="6" t="inlineStr">
        <is>
          <t>Total Jornal</t>
        </is>
      </c>
      <c r="H23" s="7" t="inlineStr">
        <is>
          <t>Total Bono</t>
        </is>
      </c>
    </row>
    <row r="24">
      <c r="A24" s="8" t="inlineStr">
        <is>
          <t>MO-001</t>
        </is>
      </c>
      <c r="B24" t="n">
        <v>1</v>
      </c>
      <c r="C24" t="inlineStr">
        <is>
          <t>MAESTRO</t>
        </is>
      </c>
      <c r="D24" s="12" t="n">
        <v>1</v>
      </c>
      <c r="E24" s="12" t="n">
        <v>30</v>
      </c>
      <c r="F24" s="12" t="n">
        <v>0</v>
      </c>
      <c r="G24" s="12">
        <f>ROUND((D24*E24),2)</f>
        <v>30</v>
      </c>
      <c r="H24" s="9">
        <f>ROUND((D24*F24),2)</f>
        <v>0</v>
      </c>
    </row>
    <row r="25">
      <c r="D25" t="inlineStr">
        <is>
          <t>SubTotal Mano de Obra:</t>
        </is>
      </c>
      <c r="G25" s="13">
        <f>SUM(G24:G24)</f>
        <v>30</v>
      </c>
      <c r="H25" s="10">
        <f>SUM(H24:H24)</f>
        <v>0</v>
      </c>
    </row>
    <row r="26">
      <c r="C26" s="14" t="n">
        <v>435</v>
      </c>
      <c r="D26" t="inlineStr">
        <is>
          <t>Prestaciones Sociales:</t>
        </is>
      </c>
      <c r="G26" s="12">
        <f>ROUND((C26/100)*G25,2)</f>
        <v>130.5</v>
      </c>
      <c r="H26" s="4" t="n">
        <v>0</v>
      </c>
    </row>
    <row r="27">
      <c r="D27" t="inlineStr">
        <is>
          <t>Total General Mano de Obra:</t>
        </is>
      </c>
      <c r="H27" s="10">
        <f>G26+H26+G25+H25</f>
        <v>160.5</v>
      </c>
    </row>
    <row r="28">
      <c r="D28" t="inlineStr">
        <is>
          <t>Costo Unitario de Mano de Obra:</t>
        </is>
      </c>
      <c r="H28" s="10">
        <f>ROUND(H27/H8,2)</f>
        <v>1.61</v>
      </c>
    </row>
    <row r="29">
      <c r="E29" s="14" t="n">
        <v>0</v>
      </c>
      <c r="H29" s="9">
        <f>ROUND((H27*E29)/100,2)</f>
        <v>0</v>
      </c>
    </row>
    <row r="30">
      <c r="E30" t="inlineStr">
        <is>
          <t>COSTO DIRECTO SUBTOTAL A:</t>
        </is>
      </c>
      <c r="H30" s="10">
        <f>ROUND(H14+H20+H28,2)</f>
        <v>22.81</v>
      </c>
    </row>
    <row r="31">
      <c r="C31" s="14" t="n">
        <v>16</v>
      </c>
      <c r="D31" t="inlineStr">
        <is>
          <t>Administración y Gastos Generales:</t>
        </is>
      </c>
      <c r="H31" s="9">
        <f>ROUND((H30*C31)/100,2)</f>
        <v>3.65</v>
      </c>
    </row>
    <row r="32">
      <c r="D32" t="inlineStr">
        <is>
          <t>SUBTOTAL B:</t>
        </is>
      </c>
      <c r="H32" s="10">
        <f>H30+H31</f>
        <v>26.46</v>
      </c>
    </row>
    <row r="33">
      <c r="B33" s="15" t="inlineStr">
        <is>
          <t>SON: ( VEINTINUEVE CON 10/100 Bs. ctms )</t>
        </is>
      </c>
      <c r="E33" s="14" t="n">
        <v>10</v>
      </c>
      <c r="F33" t="inlineStr">
        <is>
          <t>Imprevisto Utilidad:</t>
        </is>
      </c>
      <c r="H33" s="9">
        <f>ROUND((H32*E33)/100,2)</f>
        <v>2.65</v>
      </c>
    </row>
    <row r="34">
      <c r="D34" t="inlineStr">
        <is>
          <t>SUBTOTAL C:</t>
        </is>
      </c>
      <c r="H34" s="10">
        <f>H32+H33</f>
        <v>29.11</v>
      </c>
    </row>
    <row r="35">
      <c r="E35" s="14" t="n">
        <v>0</v>
      </c>
      <c r="F35" t="inlineStr">
        <is>
          <t>Financiamiento:</t>
        </is>
      </c>
      <c r="H35" s="9">
        <f>ROUND((H34*E35)/100,2)</f>
        <v>0</v>
      </c>
    </row>
    <row r="36">
      <c r="D36" t="inlineStr">
        <is>
          <t>PRECIO UNITARIO SIN IMPUESTO:</t>
        </is>
      </c>
      <c r="H36" s="10">
        <f>H34+H35</f>
        <v>29.11</v>
      </c>
    </row>
    <row r="37">
      <c r="E37" s="14" t="n">
        <v>0</v>
      </c>
      <c r="F37" t="inlineStr">
        <is>
          <t>Impuesto (I.V.A.):</t>
        </is>
      </c>
      <c r="H37" s="9">
        <f>ROUND((H36*E37)/100,2)</f>
        <v>0</v>
      </c>
    </row>
    <row r="38">
      <c r="E38" s="14" t="n">
        <v>0</v>
      </c>
      <c r="F38" t="inlineStr">
        <is>
          <t>Otros Impuestos:</t>
        </is>
      </c>
      <c r="H38" s="9">
        <f>ROUND((H36*E38)/100,2)</f>
        <v>0</v>
      </c>
    </row>
    <row r="39"/>
    <row r="40">
      <c r="D40" t="inlineStr">
        <is>
          <t>PRECIO UNITARIO (Bs.):</t>
        </is>
      </c>
      <c r="H40" s="10">
        <f>H36+H37+H38</f>
        <v>29.11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25">
    <mergeCell ref="D42:G42"/>
    <mergeCell ref="C18:D18"/>
    <mergeCell ref="D54:G54"/>
    <mergeCell ref="C6:H7"/>
    <mergeCell ref="D50:G50"/>
    <mergeCell ref="B4:H4"/>
    <mergeCell ref="F51:G51"/>
    <mergeCell ref="F20:G20"/>
    <mergeCell ref="D39:F39"/>
    <mergeCell ref="B3:H3"/>
    <mergeCell ref="D46:G46"/>
    <mergeCell ref="F47:G47"/>
    <mergeCell ref="D45:G45"/>
    <mergeCell ref="B33:C40"/>
    <mergeCell ref="F28:G28"/>
    <mergeCell ref="C17:D17"/>
    <mergeCell ref="F52:G52"/>
    <mergeCell ref="F43:G43"/>
    <mergeCell ref="D41:G41"/>
    <mergeCell ref="D48:G48"/>
    <mergeCell ref="B1:H1"/>
    <mergeCell ref="D40:F40"/>
    <mergeCell ref="F49:G49"/>
    <mergeCell ref="E44:G44"/>
    <mergeCell ref="E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2026-10-21T17:24:29Z</dcterms:created>
  <dcterms:modified xmlns:dcterms="http://purl.org/dc/terms/" xmlns:xsi="http://www.w3.org/2001/XMLSchema-instance" xsi:type="dcterms:W3CDTF">2026-10-21T17:24:29Z</dcterms:modified>
</cp:coreProperties>
</file>