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165" fontId="0" fillId="0" borderId="0" pivotButton="0" quotePrefix="0" xfId="0"/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>Obra: PRUEBA CAPTURA MAPREX</t>
        </is>
      </c>
    </row>
    <row r="4">
      <c r="B4" t="inlineStr">
        <is>
          <t>Contratante: PRUEBA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46316.76085353326</v>
      </c>
    </row>
    <row r="6">
      <c r="B6" t="inlineStr">
        <is>
          <t>Descripción:</t>
        </is>
      </c>
      <c r="C6" s="3" t="inlineStr">
        <is>
          <t>APU PRUEBA CAPTURA 4 MATERIALES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TAPU001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5" t="n">
        <v>1</v>
      </c>
    </row>
    <row r="10"/>
    <row r="11">
      <c r="B11" s="6" t="inlineStr">
        <is>
          <t>MATERIALES</t>
        </is>
      </c>
    </row>
    <row r="12">
      <c r="B12" s="7" t="inlineStr">
        <is>
          <t>No.</t>
        </is>
      </c>
      <c r="C12" s="7" t="inlineStr">
        <is>
          <t>Descripción</t>
        </is>
      </c>
      <c r="D12" s="7" t="inlineStr">
        <is>
          <t>Und.</t>
        </is>
      </c>
      <c r="E12" s="7" t="inlineStr">
        <is>
          <t>Cant.</t>
        </is>
      </c>
      <c r="F12" s="7" t="inlineStr">
        <is>
          <t>Desp.</t>
        </is>
      </c>
      <c r="G12" s="7" t="inlineStr">
        <is>
          <t>Precio</t>
        </is>
      </c>
      <c r="H12" s="8" t="inlineStr">
        <is>
          <t>Total</t>
        </is>
      </c>
    </row>
    <row r="13">
      <c r="A13" s="9" t="inlineStr">
        <is>
          <t>TST001</t>
        </is>
      </c>
      <c r="B13" t="n">
        <v>1</v>
      </c>
      <c r="C13" t="inlineStr">
        <is>
          <t>MATERIAL DE PRUEBA 1</t>
        </is>
      </c>
      <c r="D13" t="inlineStr">
        <is>
          <t>und</t>
        </is>
      </c>
      <c r="E13" s="10" t="n">
        <v>1</v>
      </c>
      <c r="F13" s="11" t="n">
        <v>0</v>
      </c>
      <c r="G13" s="11" t="n">
        <v>10</v>
      </c>
      <c r="H13" s="12">
        <f>ROUND((G13*E13)*((F13/100)+1),2)</f>
        <v>10</v>
      </c>
    </row>
    <row r="14">
      <c r="A14" s="9" t="inlineStr">
        <is>
          <t>TST002</t>
        </is>
      </c>
      <c r="B14" t="n">
        <v>2</v>
      </c>
      <c r="C14" t="inlineStr">
        <is>
          <t>MATERIAL DE PRUEBA 2</t>
        </is>
      </c>
      <c r="D14" t="inlineStr">
        <is>
          <t>und</t>
        </is>
      </c>
      <c r="E14" s="10" t="n">
        <v>2</v>
      </c>
      <c r="F14" s="11" t="n">
        <v>0</v>
      </c>
      <c r="G14" s="11" t="n">
        <v>20</v>
      </c>
      <c r="H14" s="12">
        <f>ROUND((G14*E14)*((F14/100)+1),2)</f>
        <v>40</v>
      </c>
    </row>
    <row r="15">
      <c r="A15" s="9" t="inlineStr">
        <is>
          <t>TST003</t>
        </is>
      </c>
      <c r="B15" t="n">
        <v>3</v>
      </c>
      <c r="C15" t="inlineStr">
        <is>
          <t>MATERIAL DE PRUEBA 3</t>
        </is>
      </c>
      <c r="D15" t="inlineStr">
        <is>
          <t>m</t>
        </is>
      </c>
      <c r="E15" s="10" t="n">
        <v>3</v>
      </c>
      <c r="F15" s="11" t="n">
        <v>0</v>
      </c>
      <c r="G15" s="11" t="n">
        <v>30</v>
      </c>
      <c r="H15" s="12">
        <f>ROUND((G15*E15)*((F15/100)+1),2)</f>
        <v>90</v>
      </c>
    </row>
    <row r="16">
      <c r="A16" s="9" t="inlineStr">
        <is>
          <t>TST004</t>
        </is>
      </c>
      <c r="B16" t="n">
        <v>4</v>
      </c>
      <c r="C16" t="inlineStr">
        <is>
          <t>MATERIAL DE PRUEBA 4</t>
        </is>
      </c>
      <c r="D16" t="inlineStr">
        <is>
          <t>kg</t>
        </is>
      </c>
      <c r="E16" s="10" t="n">
        <v>4</v>
      </c>
      <c r="F16" s="11" t="n">
        <v>0</v>
      </c>
      <c r="G16" s="11" t="n">
        <v>40</v>
      </c>
      <c r="H16" s="12">
        <f>ROUND((G16*E16)*((F16/100)+1),2)</f>
        <v>160</v>
      </c>
    </row>
    <row r="17">
      <c r="F17" t="inlineStr">
        <is>
          <t>Total Materiales:</t>
        </is>
      </c>
      <c r="H17" s="13">
        <f>SUM(H13:H16)</f>
        <v>300</v>
      </c>
    </row>
    <row r="18" hidden="1"/>
    <row r="19">
      <c r="B19" s="6" t="inlineStr">
        <is>
          <t>EQUIPOS</t>
        </is>
      </c>
    </row>
    <row r="20">
      <c r="B20" s="7" t="inlineStr">
        <is>
          <t>No.</t>
        </is>
      </c>
      <c r="C20" s="7" t="inlineStr">
        <is>
          <t>Descripción</t>
        </is>
      </c>
      <c r="D20" s="14" t="n"/>
      <c r="E20" s="7" t="inlineStr">
        <is>
          <t>Cant.</t>
        </is>
      </c>
      <c r="F20" s="7" t="inlineStr">
        <is>
          <t>Cop/Dep</t>
        </is>
      </c>
      <c r="G20" s="7" t="inlineStr">
        <is>
          <t>Precio</t>
        </is>
      </c>
      <c r="H20" s="8" t="inlineStr">
        <is>
          <t>Total</t>
        </is>
      </c>
    </row>
    <row r="21">
      <c r="A21" s="9" t="inlineStr">
        <is>
          <t>ALB003</t>
        </is>
      </c>
      <c r="B21" t="n">
        <v>1</v>
      </c>
      <c r="C21" t="inlineStr">
        <is>
          <t>CARRETILLA CAP= 110 LT RUEDAS DE GOMA</t>
        </is>
      </c>
      <c r="E21" s="11" t="n">
        <v>1</v>
      </c>
      <c r="F21" s="15" t="n">
        <v>0.02</v>
      </c>
      <c r="G21" s="11" t="n">
        <v>2.4</v>
      </c>
      <c r="H21" s="12">
        <f>ROUND((G21*E21)*(F21),2)</f>
        <v>0.05</v>
      </c>
    </row>
    <row r="22">
      <c r="A22" s="9" t="inlineStr">
        <is>
          <t>ELE020</t>
        </is>
      </c>
      <c r="B22" t="n">
        <v>2</v>
      </c>
      <c r="C22" t="inlineStr">
        <is>
          <t>TORRE ILUMINACION C/PLANTA GENERACION EL</t>
        </is>
      </c>
      <c r="E22" s="11" t="n">
        <v>1</v>
      </c>
      <c r="F22" s="15" t="n">
        <v>1</v>
      </c>
      <c r="G22" s="11" t="n">
        <v>66.40000000000001</v>
      </c>
      <c r="H22" s="12">
        <f>ROUND((G22*E22)*(F22),2)</f>
        <v>66.4</v>
      </c>
    </row>
    <row r="23">
      <c r="F23" t="inlineStr">
        <is>
          <t>Total Equipos:</t>
        </is>
      </c>
      <c r="H23" s="13">
        <f>SUM(H21:H22)</f>
        <v>66.45</v>
      </c>
    </row>
    <row r="24">
      <c r="E24" t="inlineStr">
        <is>
          <t>Costo Unitarios Equipos:</t>
        </is>
      </c>
      <c r="H24" s="13">
        <f>ROUND(H23/H8,2)</f>
        <v>66.45</v>
      </c>
    </row>
    <row r="25" hidden="1"/>
    <row r="26">
      <c r="B26" s="6" t="inlineStr">
        <is>
          <t>MANO DE OBRA</t>
        </is>
      </c>
    </row>
    <row r="27">
      <c r="B27" s="7" t="inlineStr">
        <is>
          <t>No.</t>
        </is>
      </c>
      <c r="C27" s="7" t="inlineStr">
        <is>
          <t>Descripción</t>
        </is>
      </c>
      <c r="D27" s="7" t="inlineStr">
        <is>
          <t>Cant.</t>
        </is>
      </c>
      <c r="E27" s="7" t="inlineStr">
        <is>
          <t>Jornal</t>
        </is>
      </c>
      <c r="F27" s="7" t="inlineStr">
        <is>
          <t>Bono</t>
        </is>
      </c>
      <c r="G27" s="7" t="inlineStr">
        <is>
          <t>Total Jornal</t>
        </is>
      </c>
      <c r="H27" s="8" t="inlineStr">
        <is>
          <t>Total Bono</t>
        </is>
      </c>
    </row>
    <row r="28">
      <c r="D28" t="inlineStr">
        <is>
          <t>SubTotal Mano de Obra:</t>
        </is>
      </c>
      <c r="G28" s="16" t="n">
        <v>0</v>
      </c>
      <c r="H28" s="13" t="n">
        <v>0</v>
      </c>
    </row>
    <row r="29">
      <c r="C29" s="17" t="n">
        <v>417</v>
      </c>
      <c r="D29" t="inlineStr">
        <is>
          <t>Prestaciones Sociales:</t>
        </is>
      </c>
      <c r="G29" s="18">
        <f>ROUND((C29/100)*G28,2)</f>
        <v>0</v>
      </c>
      <c r="H29" s="13" t="n">
        <v>0</v>
      </c>
    </row>
    <row r="30">
      <c r="D30" t="inlineStr">
        <is>
          <t>Total General Mano de Obra:</t>
        </is>
      </c>
      <c r="H30" s="13">
        <f>G29+H29+G28+H28</f>
        <v>0</v>
      </c>
    </row>
    <row r="31">
      <c r="D31" t="inlineStr">
        <is>
          <t>Costo Unitario de Mano de Obra:</t>
        </is>
      </c>
      <c r="H31" s="13">
        <f>ROUND(H30/H8,2)</f>
        <v>0</v>
      </c>
    </row>
    <row r="32">
      <c r="E32" s="17" t="n">
        <v>0</v>
      </c>
      <c r="F32" t="inlineStr">
        <is>
          <t>Otros Impuestos:</t>
        </is>
      </c>
      <c r="H32" s="12">
        <f>ROUND((H30*E32)/100,2)</f>
        <v>0</v>
      </c>
    </row>
    <row r="33">
      <c r="E33" t="inlineStr">
        <is>
          <t>COSTO DIRECTO SUBTOTAL A:</t>
        </is>
      </c>
      <c r="H33" s="13">
        <f>ROUND(H17+H24+H31,2)</f>
        <v>366.45</v>
      </c>
    </row>
    <row r="34">
      <c r="C34" s="17" t="n">
        <v>15</v>
      </c>
      <c r="D34" t="inlineStr">
        <is>
          <t>Administración y Gastos Generales:</t>
        </is>
      </c>
      <c r="H34" s="12">
        <f>ROUND((H33*C34)/100,2)</f>
        <v>54.97</v>
      </c>
    </row>
    <row r="35">
      <c r="D35" t="inlineStr">
        <is>
          <t>SUBTOTAL B:</t>
        </is>
      </c>
      <c r="H35" s="13">
        <f>H33+H34</f>
        <v>421.42</v>
      </c>
    </row>
    <row r="36">
      <c r="B36" s="19" t="inlineStr">
        <is>
          <t>SON: ( CUATROCIENTOS SESENTA Y TRES DÓLARES con 56/100 ctms )</t>
        </is>
      </c>
      <c r="E36" s="17" t="n">
        <v>10</v>
      </c>
      <c r="F36" t="inlineStr">
        <is>
          <t>Imprevisto Utilidad:</t>
        </is>
      </c>
      <c r="H36" s="12">
        <f>ROUND((H35*E36)/100,2)</f>
        <v>42.14</v>
      </c>
    </row>
    <row r="37">
      <c r="D37" t="inlineStr">
        <is>
          <t>SUBTOTAL C:</t>
        </is>
      </c>
      <c r="H37" s="13">
        <f>H35+H36</f>
        <v>463.56</v>
      </c>
    </row>
    <row r="38">
      <c r="E38" s="17" t="n">
        <v>0</v>
      </c>
      <c r="F38" t="inlineStr">
        <is>
          <t>Financiamiento:</t>
        </is>
      </c>
      <c r="H38" s="12">
        <f>ROUND((H37*E38)/100,2)</f>
        <v>0</v>
      </c>
    </row>
    <row r="39">
      <c r="D39" t="inlineStr">
        <is>
          <t>PRECIO UNITARIO SIN IMPUESTO:</t>
        </is>
      </c>
      <c r="H39" s="13">
        <f>H37+H38</f>
        <v>463.56</v>
      </c>
    </row>
    <row r="40">
      <c r="E40" s="17" t="n">
        <v>0</v>
      </c>
      <c r="F40" t="inlineStr">
        <is>
          <t>Impuesto (I.V.A.):</t>
        </is>
      </c>
      <c r="H40" s="12">
        <f>ROUND((H39*E40)/100,2)</f>
        <v>0</v>
      </c>
    </row>
    <row r="41">
      <c r="E41" s="17" t="n">
        <v>0</v>
      </c>
      <c r="F41" t="inlineStr">
        <is>
          <t>Otros Impuestos:</t>
        </is>
      </c>
      <c r="H41" s="12">
        <f>ROUND((H39*E41)/100,2)</f>
        <v>0</v>
      </c>
    </row>
    <row r="42"/>
    <row r="43">
      <c r="D43" t="inlineStr">
        <is>
          <t>PRECIO UNITARIO (USD):</t>
        </is>
      </c>
      <c r="H43" s="13">
        <f>H39+H40+H41</f>
        <v>463.56</v>
      </c>
    </row>
  </sheetData>
  <mergeCells count="26">
    <mergeCell ref="D39:G39"/>
    <mergeCell ref="D30:G30"/>
    <mergeCell ref="F40:G40"/>
    <mergeCell ref="C20:D20"/>
    <mergeCell ref="D28:F28"/>
    <mergeCell ref="C6:H7"/>
    <mergeCell ref="D35:G35"/>
    <mergeCell ref="B4:H4"/>
    <mergeCell ref="F36:G36"/>
    <mergeCell ref="C22:D22"/>
    <mergeCell ref="F32:G32"/>
    <mergeCell ref="D34:G34"/>
    <mergeCell ref="B3:H3"/>
    <mergeCell ref="F41:G41"/>
    <mergeCell ref="F17:G17"/>
    <mergeCell ref="D31:G31"/>
    <mergeCell ref="D29:F29"/>
    <mergeCell ref="C21:D21"/>
    <mergeCell ref="F38:G38"/>
    <mergeCell ref="F23:G23"/>
    <mergeCell ref="B36:C43"/>
    <mergeCell ref="E24:G24"/>
    <mergeCell ref="E33:G33"/>
    <mergeCell ref="B1:H1"/>
    <mergeCell ref="D43:G43"/>
    <mergeCell ref="D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2026-10-21T22:15:37Z</dcterms:created>
  <dcterms:modified xmlns:dcterms="http://purl.org/dc/terms/" xmlns:xsi="http://www.w3.org/2001/XMLSchema-instance" xsi:type="dcterms:W3CDTF">2026-10-21T22:15:37Z</dcterms:modified>
</cp:coreProperties>
</file>