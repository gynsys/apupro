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165" fontId="0" fillId="0" borderId="0" pivotButton="0" quotePrefix="0" xfId="0"/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46316.63977318183</v>
      </c>
    </row>
    <row r="6">
      <c r="B6" t="inlineStr">
        <is>
          <t>Descripción:</t>
        </is>
      </c>
      <c r="C6" s="3" t="inlineStr">
        <is>
          <t>PRUEBA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TEST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5" t="n">
        <v>1</v>
      </c>
    </row>
    <row r="10"/>
    <row r="11">
      <c r="B11" s="6" t="inlineStr">
        <is>
          <t>MATERIALES</t>
        </is>
      </c>
    </row>
    <row r="12">
      <c r="B12" s="7" t="inlineStr">
        <is>
          <t>No.</t>
        </is>
      </c>
      <c r="C12" s="7" t="inlineStr">
        <is>
          <t>Descripción</t>
        </is>
      </c>
      <c r="D12" s="7" t="inlineStr">
        <is>
          <t>Und.</t>
        </is>
      </c>
      <c r="E12" s="7" t="inlineStr">
        <is>
          <t>Cant.</t>
        </is>
      </c>
      <c r="F12" s="7" t="inlineStr">
        <is>
          <t>Desp.</t>
        </is>
      </c>
      <c r="G12" s="7" t="inlineStr">
        <is>
          <t>Precio</t>
        </is>
      </c>
      <c r="H12" s="8" t="inlineStr">
        <is>
          <t>Total</t>
        </is>
      </c>
    </row>
    <row r="13">
      <c r="A13" s="9" t="inlineStr">
        <is>
          <t>MAT-1</t>
        </is>
      </c>
      <c r="B13" t="n">
        <v>1</v>
      </c>
      <c r="C13" t="inlineStr">
        <is>
          <t>MATERIAL</t>
        </is>
      </c>
      <c r="D13" t="inlineStr">
        <is>
          <t>und</t>
        </is>
      </c>
      <c r="E13" s="10" t="n">
        <v>1</v>
      </c>
      <c r="F13" s="11" t="n">
        <v>0</v>
      </c>
      <c r="G13" s="11" t="n">
        <v>10</v>
      </c>
      <c r="H13" s="12">
        <f>ROUND((G13*E13)*((F13/100)+1),2)</f>
        <v>10</v>
      </c>
    </row>
    <row r="14">
      <c r="F14" t="inlineStr">
        <is>
          <t>Total Materiales:</t>
        </is>
      </c>
      <c r="H14" s="13">
        <f>SUM(H13:H13)</f>
        <v>10</v>
      </c>
    </row>
    <row r="15" hidden="1"/>
    <row r="16">
      <c r="B16" s="6" t="inlineStr">
        <is>
          <t>EQUIPOS</t>
        </is>
      </c>
    </row>
    <row r="17">
      <c r="B17" s="7" t="inlineStr">
        <is>
          <t>No.</t>
        </is>
      </c>
      <c r="C17" s="7" t="inlineStr">
        <is>
          <t>Descripción</t>
        </is>
      </c>
      <c r="D17" s="14" t="n"/>
      <c r="E17" s="7" t="inlineStr">
        <is>
          <t>Cant.</t>
        </is>
      </c>
      <c r="F17" s="7" t="inlineStr">
        <is>
          <t>Cop/Dep</t>
        </is>
      </c>
      <c r="G17" s="7" t="inlineStr">
        <is>
          <t>Precio</t>
        </is>
      </c>
      <c r="H17" s="8" t="inlineStr">
        <is>
          <t>Total</t>
        </is>
      </c>
    </row>
    <row r="18">
      <c r="A18" s="9" t="inlineStr">
        <is>
          <t>EQU-1</t>
        </is>
      </c>
      <c r="B18" t="n">
        <v>1</v>
      </c>
      <c r="C18" t="inlineStr">
        <is>
          <t>EQUIPO</t>
        </is>
      </c>
      <c r="E18" s="11" t="n">
        <v>1</v>
      </c>
      <c r="F18" s="15" t="n">
        <v>0.01</v>
      </c>
      <c r="G18" s="11" t="n">
        <v>55</v>
      </c>
      <c r="H18" s="12">
        <f>ROUND((G18*E18)*(F18),2)</f>
        <v>0.55</v>
      </c>
    </row>
    <row r="19">
      <c r="F19" t="inlineStr">
        <is>
          <t>Total Equipos:</t>
        </is>
      </c>
      <c r="H19" s="13">
        <f>SUM(H18:H18)</f>
        <v>0.55</v>
      </c>
    </row>
    <row r="20">
      <c r="E20" t="inlineStr">
        <is>
          <t>Costo Unitarios Equipos:</t>
        </is>
      </c>
      <c r="H20" s="13">
        <f>ROUND(H19/H8,2)</f>
        <v>0.55</v>
      </c>
    </row>
    <row r="21" hidden="1"/>
    <row r="22">
      <c r="B22" s="6" t="inlineStr">
        <is>
          <t>MANO DE OBRA</t>
        </is>
      </c>
    </row>
    <row r="23">
      <c r="B23" s="7" t="inlineStr">
        <is>
          <t>No.</t>
        </is>
      </c>
      <c r="C23" s="7" t="inlineStr">
        <is>
          <t>Descripción</t>
        </is>
      </c>
      <c r="D23" s="7" t="inlineStr">
        <is>
          <t>Cant.</t>
        </is>
      </c>
      <c r="E23" s="7" t="inlineStr">
        <is>
          <t>Jornal</t>
        </is>
      </c>
      <c r="F23" s="7" t="inlineStr">
        <is>
          <t>Bono</t>
        </is>
      </c>
      <c r="G23" s="7" t="inlineStr">
        <is>
          <t>Total Jornal</t>
        </is>
      </c>
      <c r="H23" s="8" t="inlineStr">
        <is>
          <t>Total Bono</t>
        </is>
      </c>
    </row>
    <row r="24">
      <c r="A24" s="9" t="inlineStr">
        <is>
          <t>MO-1</t>
        </is>
      </c>
      <c r="B24" t="n">
        <v>1</v>
      </c>
      <c r="C24" t="inlineStr">
        <is>
          <t>MANO</t>
        </is>
      </c>
      <c r="D24" s="16" t="n">
        <v>1</v>
      </c>
      <c r="E24" s="16" t="n">
        <v>10</v>
      </c>
      <c r="F24" s="16" t="n">
        <v>0</v>
      </c>
      <c r="G24" s="16">
        <f>ROUND((D24*E24),2)</f>
        <v>10</v>
      </c>
      <c r="H24" s="12">
        <f>ROUND((D24*F24),2)</f>
        <v>0</v>
      </c>
    </row>
    <row r="25">
      <c r="D25" t="inlineStr">
        <is>
          <t>SubTotal Mano de Obra:</t>
        </is>
      </c>
      <c r="G25" s="17">
        <f>SUM(G24:G24)</f>
        <v>10</v>
      </c>
      <c r="H25" s="13">
        <f>SUM(H24:H24)</f>
        <v>0</v>
      </c>
    </row>
    <row r="26">
      <c r="C26" s="18" t="n">
        <v>417</v>
      </c>
      <c r="D26" t="inlineStr">
        <is>
          <t>Prestaciones Sociales:</t>
        </is>
      </c>
      <c r="G26" s="16">
        <f>ROUND((C26/100)*G25,2)</f>
        <v>41.7</v>
      </c>
      <c r="H26" s="19" t="n">
        <v>0</v>
      </c>
    </row>
    <row r="27">
      <c r="D27" t="inlineStr">
        <is>
          <t>Total General Mano de Obra:</t>
        </is>
      </c>
      <c r="H27" s="13">
        <f>G26+H26+G25+H25</f>
        <v>51.7</v>
      </c>
    </row>
    <row r="28">
      <c r="D28" t="inlineStr">
        <is>
          <t>Costo Unitario de Mano de Obra:</t>
        </is>
      </c>
      <c r="H28" s="13">
        <f>ROUND(H27/H8,2)</f>
        <v>51.7</v>
      </c>
    </row>
    <row r="29">
      <c r="E29" s="18" t="n">
        <v>0</v>
      </c>
      <c r="F29" t="inlineStr">
        <is>
          <t>Otros Impuestos:</t>
        </is>
      </c>
      <c r="H29" s="12">
        <f>ROUND((H27*E29)/100,2)</f>
        <v>0</v>
      </c>
    </row>
    <row r="30">
      <c r="E30" t="inlineStr">
        <is>
          <t>COSTO DIRECTO SUBTOTAL A:</t>
        </is>
      </c>
      <c r="H30" s="13">
        <f>ROUND(H14+H20+H28,2)</f>
        <v>62.25</v>
      </c>
    </row>
    <row r="31">
      <c r="C31" s="18" t="n">
        <v>15</v>
      </c>
      <c r="D31" t="inlineStr">
        <is>
          <t>Administración y Gastos Generales:</t>
        </is>
      </c>
      <c r="H31" s="12">
        <f>ROUND((H30*C31)/100,2)</f>
        <v>9.34</v>
      </c>
    </row>
    <row r="32">
      <c r="D32" t="inlineStr">
        <is>
          <t>SUBTOTAL B:</t>
        </is>
      </c>
      <c r="H32" s="13">
        <f>H30+H31</f>
        <v>71.59</v>
      </c>
    </row>
    <row r="33">
      <c r="B33" s="20" t="inlineStr">
        <is>
          <t>SON: ( SETENTA Y OCHO DÓLARES con 75/100 ctms )</t>
        </is>
      </c>
      <c r="E33" s="18" t="n">
        <v>10</v>
      </c>
      <c r="F33" t="inlineStr">
        <is>
          <t>Imprevisto Utilidad:</t>
        </is>
      </c>
      <c r="H33" s="12">
        <f>ROUND((H32*E33)/100,2)</f>
        <v>7.16</v>
      </c>
    </row>
    <row r="34">
      <c r="D34" t="inlineStr">
        <is>
          <t>SUBTOTAL C:</t>
        </is>
      </c>
      <c r="H34" s="13">
        <f>H32+H33</f>
        <v>78.75</v>
      </c>
    </row>
    <row r="35">
      <c r="E35" s="18" t="n">
        <v>0</v>
      </c>
      <c r="F35" t="inlineStr">
        <is>
          <t>Financiamiento:</t>
        </is>
      </c>
      <c r="H35" s="12">
        <f>ROUND((H34*E35)/100,2)</f>
        <v>0</v>
      </c>
    </row>
    <row r="36">
      <c r="D36" t="inlineStr">
        <is>
          <t>PRECIO UNITARIO SIN IMPUESTO:</t>
        </is>
      </c>
      <c r="H36" s="13">
        <f>H34+H35</f>
        <v>78.75</v>
      </c>
    </row>
    <row r="37">
      <c r="E37" s="18" t="n">
        <v>0</v>
      </c>
      <c r="F37" t="inlineStr">
        <is>
          <t>Impuesto (I.V.A.):</t>
        </is>
      </c>
      <c r="H37" s="12">
        <f>ROUND((H36*E37)/100,2)</f>
        <v>0</v>
      </c>
    </row>
    <row r="38">
      <c r="E38" s="18" t="n">
        <v>0</v>
      </c>
      <c r="F38" t="inlineStr">
        <is>
          <t>Otros Impuestos:</t>
        </is>
      </c>
      <c r="H38" s="12">
        <f>ROUND((H36*E38)/100,2)</f>
        <v>0</v>
      </c>
    </row>
    <row r="39"/>
    <row r="40">
      <c r="D40" t="inlineStr">
        <is>
          <t>PRECIO UNITARIO (USD):</t>
        </is>
      </c>
      <c r="H40" s="13">
        <f>H36+H37+H38</f>
        <v>78.75</v>
      </c>
    </row>
  </sheetData>
  <mergeCells count="25">
    <mergeCell ref="F29:G29"/>
    <mergeCell ref="F19:G19"/>
    <mergeCell ref="E30:G30"/>
    <mergeCell ref="C6:H7"/>
    <mergeCell ref="B4:H4"/>
    <mergeCell ref="F33:G33"/>
    <mergeCell ref="D34:G34"/>
    <mergeCell ref="D25:F25"/>
    <mergeCell ref="B3:H3"/>
    <mergeCell ref="F35:G35"/>
    <mergeCell ref="D40:G40"/>
    <mergeCell ref="D31:G31"/>
    <mergeCell ref="F38:G38"/>
    <mergeCell ref="D36:G36"/>
    <mergeCell ref="B33:C40"/>
    <mergeCell ref="D26:F26"/>
    <mergeCell ref="E20:G20"/>
    <mergeCell ref="D27:G27"/>
    <mergeCell ref="C17:D17"/>
    <mergeCell ref="D32:G32"/>
    <mergeCell ref="F37:G37"/>
    <mergeCell ref="B1:H1"/>
    <mergeCell ref="F14:G14"/>
    <mergeCell ref="C18:D18"/>
    <mergeCell ref="D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2026-10-21T19:21:16Z</dcterms:created>
  <dcterms:modified xmlns:dcterms="http://purl.org/dc/terms/" xmlns:xsi="http://www.w3.org/2001/XMLSchema-instance" xsi:type="dcterms:W3CDTF">2026-10-21T19:21:16Z</dcterms:modified>
</cp:coreProperties>
</file>