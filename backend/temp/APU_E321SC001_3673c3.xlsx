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U_E321SC00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000000"/>
      <sz val="11"/>
    </font>
    <font>
      <name val="Calibri"/>
      <b val="1"/>
      <color rgb="00000000"/>
      <sz val="12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4" fontId="4" fillId="0" borderId="0" applyAlignment="1" pivotButton="0" quotePrefix="0" xfId="0">
      <alignment horizontal="center" vertical="center" wrapText="1"/>
    </xf>
    <xf numFmtId="4" fontId="2" fillId="0" borderId="0" applyAlignment="1" pivotButton="0" quotePrefix="0" xfId="0">
      <alignment horizontal="center" vertical="center" wrapText="1"/>
    </xf>
    <xf numFmtId="4" fontId="2" fillId="0" borderId="0" applyAlignment="1" pivotButton="0" quotePrefix="0" xfId="0">
      <alignment horizontal="left" vertical="center" wrapText="1"/>
    </xf>
    <xf numFmtId="4" fontId="4" fillId="0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center"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43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6" customWidth="1" min="7" max="7"/>
    <col width="18" customWidth="1" min="8" max="8"/>
  </cols>
  <sheetData>
    <row r="1">
      <c r="B1" s="1" t="inlineStr">
        <is>
          <t>ANÁLISIS DE PRECIO UNITARIO</t>
        </is>
      </c>
    </row>
    <row r="2">
      <c r="B2" t="inlineStr"/>
    </row>
    <row r="3">
      <c r="B3" t="inlineStr">
        <is>
          <t xml:space="preserve">Obra: </t>
        </is>
      </c>
    </row>
    <row r="4">
      <c r="B4" t="inlineStr">
        <is>
          <t xml:space="preserve">Contratante: </t>
        </is>
      </c>
    </row>
    <row r="5">
      <c r="E5" t="inlineStr">
        <is>
          <t>Part. No.:</t>
        </is>
      </c>
      <c r="F5" t="inlineStr">
        <is>
          <t>1</t>
        </is>
      </c>
      <c r="G5" t="inlineStr">
        <is>
          <t>Fecha:</t>
        </is>
      </c>
      <c r="H5" s="2" t="inlineStr">
        <is>
          <t>06/09/2026</t>
        </is>
      </c>
    </row>
    <row r="6">
      <c r="B6" t="inlineStr">
        <is>
          <t>Descripción:</t>
        </is>
      </c>
      <c r="C6" s="3" t="inlineStr">
        <is>
          <t>ACARREO A MANO DE PIEDRA BRUTA</t>
        </is>
      </c>
    </row>
    <row r="7"/>
    <row r="8">
      <c r="G8" t="inlineStr">
        <is>
          <t>Rendimiento:</t>
        </is>
      </c>
      <c r="H8" s="2" t="n">
        <v>60</v>
      </c>
    </row>
    <row r="9">
      <c r="B9" t="inlineStr">
        <is>
          <t>Código:</t>
        </is>
      </c>
      <c r="C9" t="inlineStr">
        <is>
          <t>E321SC001</t>
        </is>
      </c>
      <c r="E9" t="inlineStr">
        <is>
          <t>Unidad:</t>
        </is>
      </c>
      <c r="F9" t="inlineStr">
        <is>
          <t>m3*m</t>
        </is>
      </c>
      <c r="G9" t="inlineStr">
        <is>
          <t>Cantidad:</t>
        </is>
      </c>
      <c r="H9" s="2" t="inlineStr">
        <is>
          <t>1</t>
        </is>
      </c>
    </row>
    <row r="10"/>
    <row r="11">
      <c r="B11" s="4" t="inlineStr">
        <is>
          <t>MATERIALES</t>
        </is>
      </c>
    </row>
    <row r="12">
      <c r="B12" s="5" t="inlineStr">
        <is>
          <t>No.</t>
        </is>
      </c>
      <c r="C12" s="5" t="inlineStr">
        <is>
          <t>Descripción</t>
        </is>
      </c>
      <c r="D12" s="5" t="inlineStr">
        <is>
          <t>Und.</t>
        </is>
      </c>
      <c r="E12" s="5" t="inlineStr">
        <is>
          <t>Cant.</t>
        </is>
      </c>
      <c r="F12" s="5" t="inlineStr">
        <is>
          <t>Desp.</t>
        </is>
      </c>
      <c r="G12" s="5" t="inlineStr">
        <is>
          <t>Precio</t>
        </is>
      </c>
      <c r="H12" s="6" t="inlineStr">
        <is>
          <t>Total</t>
        </is>
      </c>
    </row>
    <row r="13">
      <c r="F13" t="inlineStr">
        <is>
          <t>Total Materiales:</t>
        </is>
      </c>
      <c r="H13" s="7" t="n">
        <v>0</v>
      </c>
    </row>
    <row r="14"/>
    <row r="15">
      <c r="B15" s="4" t="inlineStr">
        <is>
          <t>EQUIPOS</t>
        </is>
      </c>
    </row>
    <row r="16">
      <c r="B16" s="5" t="inlineStr">
        <is>
          <t>No.</t>
        </is>
      </c>
      <c r="C16" s="5" t="inlineStr">
        <is>
          <t>Descripción</t>
        </is>
      </c>
      <c r="D16" s="5" t="inlineStr"/>
      <c r="E16" s="5" t="inlineStr">
        <is>
          <t>Cant.</t>
        </is>
      </c>
      <c r="F16" s="5" t="inlineStr">
        <is>
          <t>Cop/Dep</t>
        </is>
      </c>
      <c r="G16" s="5" t="inlineStr">
        <is>
          <t>Precio</t>
        </is>
      </c>
      <c r="H16" s="6" t="inlineStr">
        <is>
          <t>Total</t>
        </is>
      </c>
    </row>
    <row r="17">
      <c r="B17" t="n">
        <v>1</v>
      </c>
      <c r="C17" t="inlineStr">
        <is>
          <t>CARRETILLA CAP= 55 LT</t>
        </is>
      </c>
      <c r="E17" t="n">
        <v>2</v>
      </c>
      <c r="F17" t="n">
        <v>0.025</v>
      </c>
      <c r="G17" t="n">
        <v>4.67975</v>
      </c>
      <c r="H17" s="8">
        <f>ROUND((G17*E17)*(F17),2)</f>
        <v/>
      </c>
    </row>
    <row r="18">
      <c r="B18" t="n">
        <v>2</v>
      </c>
      <c r="C18" t="inlineStr">
        <is>
          <t>PALA CON CABO</t>
        </is>
      </c>
      <c r="E18" t="n">
        <v>2</v>
      </c>
      <c r="F18" t="n">
        <v>0.034</v>
      </c>
      <c r="G18" t="n">
        <v>1.3107</v>
      </c>
      <c r="H18" s="8">
        <f>ROUND((G18*E18)*(F18),2)</f>
        <v/>
      </c>
    </row>
    <row r="19">
      <c r="F19" t="inlineStr">
        <is>
          <t>Total Equipos:</t>
        </is>
      </c>
      <c r="H19" s="7">
        <f>SUM(H17:H18)</f>
        <v/>
      </c>
    </row>
    <row r="20">
      <c r="E20" t="inlineStr">
        <is>
          <t>Costo Unitarios Equipos:</t>
        </is>
      </c>
      <c r="H20" s="7">
        <f>ROUND(H19/H8,2)</f>
        <v/>
      </c>
    </row>
    <row r="21"/>
    <row r="22">
      <c r="B22" s="4" t="inlineStr">
        <is>
          <t>MANO DE OBRA</t>
        </is>
      </c>
    </row>
    <row r="23">
      <c r="B23" s="5" t="inlineStr">
        <is>
          <t>No.</t>
        </is>
      </c>
      <c r="C23" s="5" t="inlineStr">
        <is>
          <t>Descripción</t>
        </is>
      </c>
      <c r="D23" s="5" t="inlineStr">
        <is>
          <t>Cant.</t>
        </is>
      </c>
      <c r="E23" s="5" t="inlineStr">
        <is>
          <t>Jornal</t>
        </is>
      </c>
      <c r="F23" s="5" t="inlineStr">
        <is>
          <t>Bono</t>
        </is>
      </c>
      <c r="G23" s="5" t="inlineStr">
        <is>
          <t>Total Jornal</t>
        </is>
      </c>
      <c r="H23" s="6" t="inlineStr">
        <is>
          <t>Total Bono</t>
        </is>
      </c>
    </row>
    <row r="24">
      <c r="B24" t="n">
        <v>1</v>
      </c>
      <c r="C24" t="inlineStr">
        <is>
          <t>OBRERO DE 1RA</t>
        </is>
      </c>
      <c r="D24" t="n">
        <v>6</v>
      </c>
      <c r="E24" t="n">
        <v>2.26</v>
      </c>
      <c r="F24" t="n">
        <v>3.22</v>
      </c>
      <c r="G24" s="9">
        <f>ROUND((D24*E24),2)</f>
        <v/>
      </c>
      <c r="H24" s="8">
        <f>ROUND((D24*F24),2)</f>
        <v/>
      </c>
    </row>
    <row r="25">
      <c r="B25" t="n">
        <v>2</v>
      </c>
      <c r="C25" t="inlineStr">
        <is>
          <t>AYUDANTE</t>
        </is>
      </c>
      <c r="D25" t="n">
        <v>1</v>
      </c>
      <c r="E25" t="n">
        <v>2.46</v>
      </c>
      <c r="F25" t="n">
        <v>3.22</v>
      </c>
      <c r="G25" s="9">
        <f>ROUND((D25*E25),2)</f>
        <v/>
      </c>
      <c r="H25" s="8">
        <f>ROUND((D25*F25),2)</f>
        <v/>
      </c>
    </row>
    <row r="26">
      <c r="B26" t="n">
        <v>3</v>
      </c>
      <c r="C26" t="inlineStr">
        <is>
          <t>CAPORAL</t>
        </is>
      </c>
      <c r="D26" t="n">
        <v>0.5</v>
      </c>
      <c r="E26" t="n">
        <v>2.55</v>
      </c>
      <c r="F26" t="n">
        <v>3.22</v>
      </c>
      <c r="G26" s="9">
        <f>ROUND((D26*E26),2)</f>
        <v/>
      </c>
      <c r="H26" s="8">
        <f>ROUND((D26*F26),2)</f>
        <v/>
      </c>
    </row>
    <row r="27">
      <c r="D27" t="inlineStr">
        <is>
          <t>SubTotal Mano de Obra:</t>
        </is>
      </c>
      <c r="G27" s="10">
        <f>SUM(G24:G26)</f>
        <v/>
      </c>
      <c r="H27" s="7">
        <f>SUM(H24:H26)</f>
        <v/>
      </c>
    </row>
    <row r="28">
      <c r="C28" s="11" t="n">
        <v>417</v>
      </c>
      <c r="D28" t="inlineStr">
        <is>
          <t>Prestaciones Sociales:</t>
        </is>
      </c>
      <c r="G28" s="9">
        <f>ROUND((C28/100)*G27,2)</f>
        <v/>
      </c>
      <c r="H28" s="2" t="n">
        <v>0</v>
      </c>
    </row>
    <row r="29">
      <c r="D29" t="inlineStr">
        <is>
          <t>Total General Mano de Obra:</t>
        </is>
      </c>
      <c r="H29" s="7">
        <f>G28+H28+G27+H27</f>
        <v/>
      </c>
    </row>
    <row r="30">
      <c r="D30" t="inlineStr">
        <is>
          <t>Costo Unitario de Mano de Obra:</t>
        </is>
      </c>
      <c r="H30" s="7">
        <f>ROUND(H29/H8,2)</f>
        <v/>
      </c>
    </row>
    <row r="31"/>
    <row r="32"/>
    <row r="33">
      <c r="E33" t="inlineStr">
        <is>
          <t>COSTO DIRECTO SUBTOTAL A:</t>
        </is>
      </c>
      <c r="H33" s="7">
        <f>ROUND(H13+H20+H30,2)</f>
        <v/>
      </c>
    </row>
    <row r="34">
      <c r="C34" s="11" t="n">
        <v>15</v>
      </c>
      <c r="D34" t="inlineStr">
        <is>
          <t>Administración y Gastos Generales:</t>
        </is>
      </c>
      <c r="H34" s="8">
        <f>ROUND((H33*C34)/100,2)</f>
        <v/>
      </c>
    </row>
    <row r="35">
      <c r="D35" t="inlineStr">
        <is>
          <t>SUBTOTAL B:</t>
        </is>
      </c>
      <c r="H35" s="7">
        <f>H33+H34</f>
        <v/>
      </c>
    </row>
    <row r="36">
      <c r="E36" s="11" t="n">
        <v>10</v>
      </c>
      <c r="F36" t="inlineStr">
        <is>
          <t>Imprevisto Utilidad:</t>
        </is>
      </c>
      <c r="H36" s="8">
        <f>ROUND((H35*E36)/100,2)</f>
        <v/>
      </c>
    </row>
    <row r="37">
      <c r="D37" t="inlineStr">
        <is>
          <t>SUBTOTAL C:</t>
        </is>
      </c>
      <c r="H37" s="7">
        <f>H35+H36</f>
        <v/>
      </c>
    </row>
    <row r="38">
      <c r="E38" s="11" t="n">
        <v>0</v>
      </c>
      <c r="F38" t="inlineStr">
        <is>
          <t>Financiamiento:</t>
        </is>
      </c>
      <c r="H38" s="8">
        <f>ROUND((H37*E38)/100,2)</f>
        <v/>
      </c>
    </row>
    <row r="39">
      <c r="D39" t="inlineStr">
        <is>
          <t>PRECIO UNITARIO SIN IMPUESTO:</t>
        </is>
      </c>
      <c r="H39" s="7">
        <f>H37+H38</f>
        <v/>
      </c>
    </row>
    <row r="40">
      <c r="B40" s="12" t="inlineStr">
        <is>
          <t>SON: ( NO DISPONIBLE )</t>
        </is>
      </c>
      <c r="E40" s="11" t="n">
        <v>16</v>
      </c>
      <c r="F40" t="inlineStr">
        <is>
          <t>Impuesto (I.V.A.):</t>
        </is>
      </c>
      <c r="H40" s="8">
        <f>ROUND((H39*E40)/100,2)</f>
        <v/>
      </c>
    </row>
    <row r="41">
      <c r="E41" s="11" t="n">
        <v>0</v>
      </c>
      <c r="F41" t="inlineStr">
        <is>
          <t>Otros Impuestos:</t>
        </is>
      </c>
      <c r="H41" s="8">
        <f>ROUND((H39*E41)/100,2)</f>
        <v/>
      </c>
    </row>
    <row r="42"/>
    <row r="43">
      <c r="D43" t="inlineStr">
        <is>
          <t>PRECIO UNITARIO (Bs.F.):</t>
        </is>
      </c>
      <c r="H43" s="7">
        <f>H39+H40+H41</f>
        <v/>
      </c>
    </row>
  </sheetData>
  <mergeCells count="7">
    <mergeCell ref="B22:H22"/>
    <mergeCell ref="C6:H7"/>
    <mergeCell ref="B1:H1"/>
    <mergeCell ref="B2:H2"/>
    <mergeCell ref="B15:H15"/>
    <mergeCell ref="B11:H11"/>
    <mergeCell ref="B40:C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2026-09-06T17:00:07Z</dcterms:created>
  <dcterms:modified xmlns:dcterms="http://purl.org/dc/terms/" xmlns:xsi="http://www.w3.org/2001/XMLSchema-instance" xsi:type="dcterms:W3CDTF">2026-09-06T17:00:07Z</dcterms:modified>
</cp:coreProperties>
</file>